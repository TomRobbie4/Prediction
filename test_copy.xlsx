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5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000000"/>
      <sz val="12"/>
      <scheme val="minor"/>
    </font>
    <font>
      <name val="Times New Roman"/>
      <family val="1"/>
      <b val="1"/>
      <color rgb="FF434343"/>
      <sz val="26"/>
    </font>
    <font>
      <name val="Times New Roman"/>
      <family val="1"/>
      <b val="1"/>
      <color rgb="FF434343"/>
      <sz val="16"/>
    </font>
    <font>
      <name val="Times New Roman"/>
      <family val="1"/>
      <b val="1"/>
      <color rgb="FF434343"/>
      <sz val="9"/>
    </font>
    <font>
      <name val="Aptos Narrow"/>
      <family val="2"/>
      <color theme="10"/>
      <sz val="12"/>
      <u val="single"/>
      <scheme val="minor"/>
    </font>
    <font>
      <name val="Times New Roman"/>
      <family val="1"/>
      <b val="1"/>
      <color rgb="FF000000"/>
      <sz val="16"/>
    </font>
    <font>
      <name val="Times New Roman"/>
      <family val="1"/>
      <b val="1"/>
      <color rgb="FF000000"/>
      <sz val="11"/>
    </font>
    <font>
      <name val="Times New Roman"/>
      <family val="1"/>
      <b val="1"/>
      <color theme="0"/>
      <sz val="16"/>
    </font>
    <font>
      <name val="Aptos Narrow"/>
      <family val="2"/>
      <color theme="1"/>
      <sz val="11"/>
      <scheme val="minor"/>
    </font>
    <font>
      <name val="Times New Roman"/>
      <family val="1"/>
      <b val="1"/>
      <color rgb="FF434343"/>
      <sz val="14"/>
    </font>
    <font>
      <name val="Aptos Narrow"/>
      <family val="2"/>
      <color theme="1"/>
      <sz val="14"/>
      <scheme val="minor"/>
    </font>
    <font>
      <name val="Aptos Narrow"/>
      <family val="2"/>
      <color theme="10"/>
      <sz val="14"/>
      <u val="single"/>
      <scheme val="minor"/>
    </font>
    <font>
      <name val="Aptos Narrow"/>
      <family val="2"/>
      <color theme="0"/>
      <sz val="14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4"/>
    </font>
    <font>
      <name val="Aptos Narrow"/>
      <family val="2"/>
      <sz val="8"/>
      <scheme val="minor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14"/>
    </font>
    <font>
      <name val="Times New Roman"/>
      <family val="1"/>
      <color theme="0"/>
      <sz val="14"/>
    </font>
    <font>
      <name val="Times New Roman"/>
      <family val="1"/>
      <b val="1"/>
      <color theme="1"/>
      <sz val="11"/>
    </font>
    <font>
      <name val="Aptos Narrow"/>
      <family val="2"/>
      <color theme="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0499893185216834"/>
        <bgColor indexed="64"/>
      </patternFill>
    </fill>
  </fills>
  <borders count="6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/>
      <bottom/>
      <diagonal/>
    </border>
    <border>
      <left style="thin">
        <color theme="0"/>
      </left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</borders>
  <cellStyleXfs count="3">
    <xf numFmtId="0" fontId="1" fillId="0" borderId="0"/>
    <xf numFmtId="0" fontId="1" fillId="2" borderId="1"/>
    <xf numFmtId="0" fontId="7" fillId="0" borderId="0"/>
  </cellStyleXfs>
  <cellXfs count="12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15" fillId="5" borderId="23" applyAlignment="1" pivotButton="0" quotePrefix="0" xfId="0">
      <alignment horizontal="center" vertical="center"/>
    </xf>
    <xf numFmtId="0" fontId="16" fillId="4" borderId="13" applyAlignment="1" pivotButton="0" quotePrefix="0" xfId="0">
      <alignment horizontal="center" vertical="center"/>
    </xf>
    <xf numFmtId="0" fontId="16" fillId="4" borderId="14" applyAlignment="1" pivotButton="0" quotePrefix="0" xfId="0">
      <alignment horizontal="center" vertical="center"/>
    </xf>
    <xf numFmtId="0" fontId="16" fillId="4" borderId="34" applyAlignment="1" pivotButton="0" quotePrefix="0" xfId="0">
      <alignment horizontal="center" vertical="center"/>
    </xf>
    <xf numFmtId="0" fontId="16" fillId="4" borderId="35" applyAlignment="1" pivotButton="0" quotePrefix="0" xfId="0">
      <alignment horizontal="center" vertical="center"/>
    </xf>
    <xf numFmtId="0" fontId="16" fillId="0" borderId="36" applyAlignment="1" pivotButton="0" quotePrefix="0" xfId="0">
      <alignment horizontal="center" vertical="center"/>
    </xf>
    <xf numFmtId="0" fontId="16" fillId="0" borderId="37" applyAlignment="1" pivotButton="0" quotePrefix="0" xfId="0">
      <alignment horizontal="center" vertical="center"/>
    </xf>
    <xf numFmtId="0" fontId="16" fillId="0" borderId="34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16" fillId="4" borderId="15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6" fillId="4" borderId="41" applyAlignment="1" pivotButton="0" quotePrefix="0" xfId="0">
      <alignment horizontal="center" vertical="center"/>
    </xf>
    <xf numFmtId="0" fontId="16" fillId="4" borderId="42" applyAlignment="1" pivotButton="0" quotePrefix="0" xfId="0">
      <alignment horizontal="center" vertical="center"/>
    </xf>
    <xf numFmtId="0" fontId="16" fillId="4" borderId="10" applyAlignment="1" pivotButton="0" quotePrefix="0" xfId="0">
      <alignment horizontal="center" vertical="center"/>
    </xf>
    <xf numFmtId="0" fontId="16" fillId="4" borderId="7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4" borderId="43" applyAlignment="1" pivotButton="0" quotePrefix="0" xfId="0">
      <alignment horizontal="center" vertical="center"/>
    </xf>
    <xf numFmtId="0" fontId="16" fillId="4" borderId="44" applyAlignment="1" pivotButton="0" quotePrefix="0" xfId="0">
      <alignment horizontal="center" vertical="center"/>
    </xf>
    <xf numFmtId="0" fontId="16" fillId="4" borderId="9" applyAlignment="1" pivotButton="0" quotePrefix="0" xfId="0">
      <alignment horizontal="center" vertical="center"/>
    </xf>
    <xf numFmtId="0" fontId="16" fillId="4" borderId="6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0" borderId="20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/>
    </xf>
    <xf numFmtId="0" fontId="16" fillId="0" borderId="43" applyAlignment="1" pivotButton="0" quotePrefix="0" xfId="0">
      <alignment horizontal="center" vertical="center"/>
    </xf>
    <xf numFmtId="0" fontId="16" fillId="0" borderId="44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center"/>
    </xf>
    <xf numFmtId="0" fontId="16" fillId="0" borderId="16" applyAlignment="1" pivotButton="0" quotePrefix="0" xfId="0">
      <alignment horizontal="center" vertical="center"/>
    </xf>
    <xf numFmtId="0" fontId="16" fillId="0" borderId="46" applyAlignment="1" pivotButton="0" quotePrefix="0" xfId="0">
      <alignment horizontal="center" vertical="center"/>
    </xf>
    <xf numFmtId="0" fontId="16" fillId="0" borderId="47" applyAlignment="1" pivotButton="0" quotePrefix="0" xfId="0">
      <alignment horizontal="center" vertical="center"/>
    </xf>
    <xf numFmtId="0" fontId="16" fillId="0" borderId="41" applyAlignment="1" pivotButton="0" quotePrefix="0" xfId="0">
      <alignment horizontal="center" vertical="center"/>
    </xf>
    <xf numFmtId="0" fontId="16" fillId="0" borderId="42" applyAlignment="1" pivotButton="0" quotePrefix="0" xfId="0">
      <alignment horizontal="center" vertical="center"/>
    </xf>
    <xf numFmtId="0" fontId="16" fillId="0" borderId="49" applyAlignment="1" pivotButton="0" quotePrefix="0" xfId="0">
      <alignment horizontal="center" vertical="center"/>
    </xf>
    <xf numFmtId="0" fontId="16" fillId="0" borderId="50" applyAlignment="1" pivotButton="0" quotePrefix="0" xfId="0">
      <alignment horizontal="center" vertical="center"/>
    </xf>
    <xf numFmtId="0" fontId="14" fillId="0" borderId="0" applyAlignment="1" pivotButton="0" quotePrefix="0" xfId="2">
      <alignment horizontal="left" vertical="center"/>
    </xf>
    <xf numFmtId="0" fontId="2" fillId="0" borderId="0" applyAlignment="1" pivotButton="0" quotePrefix="0" xfId="1">
      <alignment horizontal="left" vertical="center"/>
    </xf>
    <xf numFmtId="0" fontId="12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21" fillId="0" borderId="0" applyAlignment="1" pivotButton="0" quotePrefix="1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8" fillId="0" borderId="52" applyAlignment="1" pivotButton="0" quotePrefix="0" xfId="0">
      <alignment horizontal="center" vertical="center"/>
    </xf>
    <xf numFmtId="0" fontId="18" fillId="0" borderId="5" applyAlignment="1" pivotButton="0" quotePrefix="0" xfId="0">
      <alignment vertical="center"/>
    </xf>
    <xf numFmtId="0" fontId="0" fillId="6" borderId="29" applyAlignment="1" pivotButton="0" quotePrefix="0" xfId="0">
      <alignment horizontal="center" vertical="center"/>
    </xf>
    <xf numFmtId="0" fontId="23" fillId="0" borderId="25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/>
    </xf>
    <xf numFmtId="0" fontId="23" fillId="0" borderId="28" applyAlignment="1" pivotButton="0" quotePrefix="0" xfId="0">
      <alignment horizontal="center" vertical="center"/>
    </xf>
    <xf numFmtId="0" fontId="23" fillId="8" borderId="12" applyAlignment="1" pivotButton="0" quotePrefix="0" xfId="0">
      <alignment horizontal="center" vertical="center"/>
    </xf>
    <xf numFmtId="0" fontId="23" fillId="0" borderId="27" applyAlignment="1" pivotButton="0" quotePrefix="0" xfId="0">
      <alignment horizontal="center" vertical="center"/>
    </xf>
    <xf numFmtId="0" fontId="23" fillId="0" borderId="45" applyAlignment="1" pivotButton="0" quotePrefix="0" xfId="0">
      <alignment horizontal="center" vertical="center"/>
    </xf>
    <xf numFmtId="0" fontId="23" fillId="0" borderId="48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0" pivotButton="0" quotePrefix="0" xfId="0"/>
    <xf numFmtId="0" fontId="24" fillId="0" borderId="0" applyAlignment="1" pivotButton="0" quotePrefix="0" xfId="0">
      <alignment horizontal="center" vertical="center"/>
    </xf>
    <xf numFmtId="0" fontId="8" fillId="6" borderId="8" applyAlignment="1" pivotButton="0" quotePrefix="0" xfId="0">
      <alignment horizontal="center" vertical="center"/>
    </xf>
    <xf numFmtId="0" fontId="8" fillId="6" borderId="57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 vertical="center"/>
    </xf>
    <xf numFmtId="0" fontId="16" fillId="0" borderId="0" pivotButton="0" quotePrefix="0" xfId="0"/>
    <xf numFmtId="0" fontId="17" fillId="8" borderId="56" applyAlignment="1" pivotButton="0" quotePrefix="0" xfId="0">
      <alignment horizontal="center" vertical="center"/>
    </xf>
    <xf numFmtId="0" fontId="17" fillId="8" borderId="51" applyAlignment="1" pivotButton="0" quotePrefix="0" xfId="0">
      <alignment horizontal="center" vertical="center"/>
    </xf>
    <xf numFmtId="0" fontId="12" fillId="3" borderId="5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47" applyAlignment="1" pivotButton="0" quotePrefix="0" xfId="0">
      <alignment horizontal="center" vertical="center"/>
    </xf>
    <xf numFmtId="0" fontId="18" fillId="0" borderId="46" applyAlignment="1" pivotButton="0" quotePrefix="0" xfId="0">
      <alignment horizontal="center" vertical="center"/>
    </xf>
    <xf numFmtId="0" fontId="18" fillId="6" borderId="56" applyAlignment="1" pivotButton="0" quotePrefix="0" xfId="0">
      <alignment horizontal="center" vertical="center"/>
    </xf>
    <xf numFmtId="0" fontId="18" fillId="6" borderId="51" applyAlignment="1" pivotButton="0" quotePrefix="0" xfId="0">
      <alignment horizontal="center" vertical="center"/>
    </xf>
    <xf numFmtId="0" fontId="10" fillId="5" borderId="53" applyAlignment="1" pivotButton="0" quotePrefix="0" xfId="0">
      <alignment horizontal="center" vertical="center"/>
    </xf>
    <xf numFmtId="0" fontId="10" fillId="5" borderId="54" applyAlignment="1" pivotButton="0" quotePrefix="0" xfId="0">
      <alignment horizontal="center" vertical="center"/>
    </xf>
    <xf numFmtId="0" fontId="10" fillId="5" borderId="5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18" fillId="7" borderId="30" applyAlignment="1" pivotButton="0" quotePrefix="0" xfId="0">
      <alignment horizontal="center" vertical="center"/>
    </xf>
    <xf numFmtId="0" fontId="18" fillId="7" borderId="31" applyAlignment="1" pivotButton="0" quotePrefix="0" xfId="0">
      <alignment horizontal="center" vertical="center"/>
    </xf>
    <xf numFmtId="0" fontId="18" fillId="7" borderId="24" applyAlignment="1" pivotButton="0" quotePrefix="0" xfId="0">
      <alignment horizontal="center" vertical="center"/>
    </xf>
    <xf numFmtId="0" fontId="18" fillId="7" borderId="32" applyAlignment="1" pivotButton="0" quotePrefix="0" xfId="0">
      <alignment horizontal="center" vertical="center"/>
    </xf>
    <xf numFmtId="0" fontId="18" fillId="7" borderId="33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0" fillId="5" borderId="32" applyAlignment="1" pivotButton="0" quotePrefix="0" xfId="0">
      <alignment horizontal="center" vertical="center" wrapText="1"/>
    </xf>
    <xf numFmtId="0" fontId="10" fillId="5" borderId="38" applyAlignment="1" pivotButton="0" quotePrefix="0" xfId="0">
      <alignment horizontal="center" vertical="center" wrapText="1"/>
    </xf>
    <xf numFmtId="0" fontId="10" fillId="5" borderId="39" applyAlignment="1" pivotButton="0" quotePrefix="0" xfId="0">
      <alignment horizontal="center" vertical="center" wrapText="1"/>
    </xf>
    <xf numFmtId="0" fontId="10" fillId="5" borderId="40" applyAlignment="1" pivotButton="0" quotePrefix="0" xfId="0">
      <alignment horizontal="center" vertical="center" wrapText="1"/>
    </xf>
    <xf numFmtId="0" fontId="7" fillId="0" borderId="0" pivotButton="0" quotePrefix="0" xfId="2"/>
    <xf numFmtId="0" fontId="17" fillId="0" borderId="8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11" pivotButton="0" quotePrefix="0" xfId="0"/>
    <xf numFmtId="0" fontId="0" fillId="0" borderId="46" pivotButton="0" quotePrefix="0" xfId="0"/>
    <xf numFmtId="0" fontId="17" fillId="0" borderId="5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24" pivotButton="0" quotePrefix="0" xfId="0"/>
    <xf numFmtId="0" fontId="18" fillId="7" borderId="64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4" pivotButton="0" quotePrefix="0" xfId="0"/>
    <xf numFmtId="0" fontId="10" fillId="5" borderId="65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17" fillId="8" borderId="12" applyAlignment="1" pivotButton="0" quotePrefix="0" xfId="0">
      <alignment horizontal="center" vertical="center"/>
    </xf>
    <xf numFmtId="0" fontId="0" fillId="0" borderId="51" pivotButton="0" quotePrefix="0" xfId="0"/>
    <xf numFmtId="0" fontId="10" fillId="5" borderId="66" applyAlignment="1" pivotButton="0" quotePrefix="0" xfId="0">
      <alignment horizontal="center" vertical="center" wrapText="1"/>
    </xf>
    <xf numFmtId="0" fontId="10" fillId="5" borderId="58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18" fillId="6" borderId="12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</cellXfs>
  <cellStyles count="3">
    <cellStyle name="Normal" xfId="0" builtinId="0"/>
    <cellStyle name="Note" xfId="1" builtinId="10"/>
    <cellStyle name="Hyperlink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nba.com/playoffs/20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tabSelected="1" zoomScale="88" zoomScaleNormal="109" workbookViewId="0">
      <selection activeCell="G16" sqref="G16:H16"/>
    </sheetView>
  </sheetViews>
  <sheetFormatPr baseColWidth="10" defaultColWidth="10.83203125" defaultRowHeight="16"/>
  <cols>
    <col width="14.1640625" customWidth="1" min="1" max="1"/>
    <col width="22.83203125" customWidth="1" style="1" min="2" max="2"/>
    <col width="21.33203125" customWidth="1" style="1" min="3" max="3"/>
    <col width="6.6640625" customWidth="1" style="1" min="4" max="4"/>
    <col width="21.33203125" customWidth="1" style="1" min="5" max="5"/>
    <col width="6.1640625" customWidth="1" style="1" min="6" max="6"/>
    <col width="21.33203125" customWidth="1" style="1" min="7" max="7"/>
    <col width="7" customWidth="1" style="1" min="8" max="8"/>
    <col width="21.33203125" customWidth="1" style="1" min="9" max="9"/>
    <col width="7" customWidth="1" style="1" min="10" max="10"/>
    <col width="21.33203125" customWidth="1" style="1" min="11" max="11"/>
    <col width="6.6640625" customWidth="1" style="1" min="12" max="12"/>
    <col width="21.33203125" customWidth="1" style="1" min="13" max="13"/>
    <col width="8.1640625" customWidth="1" style="1" min="14" max="14"/>
  </cols>
  <sheetData>
    <row r="1" ht="43" customHeight="1">
      <c r="A1" s="90" t="inlineStr">
        <is>
          <t>Playoffs Predictions 2026</t>
        </is>
      </c>
      <c r="B1" s="104" t="n"/>
      <c r="C1" s="104" t="n"/>
      <c r="D1" s="104" t="n"/>
      <c r="E1" s="104" t="n"/>
      <c r="F1" s="104" t="n"/>
      <c r="G1" s="104" t="n"/>
      <c r="H1" s="104" t="n"/>
      <c r="I1" s="104" t="n"/>
      <c r="J1" s="104" t="n"/>
      <c r="K1" s="104" t="n"/>
      <c r="L1" s="104" t="n"/>
      <c r="M1" s="104" t="n"/>
      <c r="N1" s="105" t="n"/>
    </row>
    <row r="2" ht="10" customHeight="1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</row>
    <row r="3" ht="19" customHeight="1">
      <c r="A3" s="77" t="inlineStr">
        <is>
          <t>Règles</t>
        </is>
      </c>
      <c r="F3" s="9" t="n"/>
      <c r="G3" s="9" t="n"/>
      <c r="H3" s="9" t="n"/>
      <c r="I3" s="9" t="n"/>
    </row>
    <row r="4" ht="19" customHeight="1">
      <c r="A4" s="77" t="inlineStr">
        <is>
          <t>2 points si tu as la bonne équipe et le bon nombre de matchs.</t>
        </is>
      </c>
      <c r="F4" s="9" t="n"/>
      <c r="G4" s="9" t="n"/>
      <c r="H4" s="9" t="n"/>
      <c r="I4" s="9" t="n"/>
    </row>
    <row r="5" ht="19" customHeight="1">
      <c r="A5" s="77" t="inlineStr">
        <is>
          <t>1 point si tu as la bonne équipe.</t>
        </is>
      </c>
      <c r="F5" s="9" t="n"/>
      <c r="G5" s="9" t="n"/>
      <c r="H5" s="9" t="n"/>
      <c r="I5" s="9" t="n"/>
    </row>
    <row r="6" ht="19" customHeight="1">
      <c r="A6" s="77" t="inlineStr">
        <is>
          <t>0 point si tu n’as pas la bonne équipe même si tu as misé sur le bon nombre de matchs.</t>
        </is>
      </c>
      <c r="F6" s="9" t="n"/>
      <c r="G6" s="9" t="n"/>
      <c r="H6" s="9" t="n"/>
      <c r="I6" s="9" t="n"/>
      <c r="K6" s="55" t="n"/>
    </row>
    <row r="7" ht="19" customHeight="1">
      <c r="A7" s="77" t="inlineStr">
        <is>
          <t>1 point si tu as le bon MVP.</t>
        </is>
      </c>
      <c r="F7" s="9" t="n"/>
      <c r="G7" s="9" t="n"/>
      <c r="H7" s="9" t="n"/>
      <c r="I7" s="9" t="n"/>
    </row>
    <row r="8" ht="10" customHeight="1">
      <c r="A8" s="77" t="n"/>
      <c r="B8" s="77" t="n"/>
      <c r="C8" s="77" t="n"/>
      <c r="D8" s="77" t="n"/>
      <c r="E8" s="77" t="n"/>
      <c r="F8" s="9" t="n"/>
      <c r="G8" s="9" t="n"/>
      <c r="H8" s="9" t="n"/>
      <c r="I8" s="9" t="n"/>
    </row>
    <row r="9" ht="19" customHeight="1">
      <c r="A9" s="77" t="inlineStr">
        <is>
          <t>20$/personne</t>
        </is>
      </c>
      <c r="F9" s="9" t="n"/>
      <c r="G9" s="9" t="n"/>
      <c r="H9" s="9" t="n"/>
      <c r="I9" s="9" t="n"/>
    </row>
    <row r="10" ht="10" customHeight="1">
      <c r="A10" s="77" t="n"/>
      <c r="B10" s="77" t="n"/>
      <c r="C10" s="77" t="n"/>
      <c r="D10" s="77" t="n"/>
      <c r="E10" s="77" t="n"/>
      <c r="F10" s="9" t="n"/>
      <c r="G10" s="9" t="n"/>
      <c r="H10" s="9" t="n"/>
      <c r="I10" s="9" t="n"/>
    </row>
    <row r="11" ht="19" customHeight="1">
      <c r="A11" s="77" t="inlineStr">
        <is>
          <t>Pour suivre les playoffs:</t>
        </is>
      </c>
      <c r="F11" s="9" t="n"/>
      <c r="G11" s="9" t="n"/>
      <c r="H11" s="9" t="n"/>
      <c r="I11" s="9" t="n"/>
    </row>
    <row r="12" ht="19" customHeight="1">
      <c r="A12" s="101" t="inlineStr">
        <is>
          <t>https://www.nba.com/playoffs/2026</t>
        </is>
      </c>
      <c r="F12" s="9" t="n"/>
      <c r="G12" s="9" t="n"/>
      <c r="H12" s="9" t="n"/>
      <c r="I12" s="9" t="n"/>
    </row>
    <row r="13" ht="10" customHeight="1">
      <c r="A13" s="54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5" customHeight="1">
      <c r="B14" s="80" t="inlineStr">
        <is>
          <t>Play-in results</t>
        </is>
      </c>
      <c r="C14" s="104" t="n"/>
      <c r="D14" s="104" t="n"/>
      <c r="E14" s="104" t="n"/>
      <c r="F14" s="104" t="n"/>
      <c r="G14" s="104" t="n"/>
      <c r="H14" s="104" t="n"/>
      <c r="I14" s="105" t="n"/>
    </row>
    <row r="15" ht="20" customHeight="1">
      <c r="B15" s="61" t="inlineStr">
        <is>
          <t>Results</t>
        </is>
      </c>
      <c r="C15" s="61" t="inlineStr">
        <is>
          <t>EST</t>
        </is>
      </c>
      <c r="D15" s="106" t="n"/>
      <c r="E15" s="61" t="inlineStr">
        <is>
          <t>MATCHUPS</t>
        </is>
      </c>
      <c r="F15" s="106" t="n"/>
      <c r="G15" s="61" t="inlineStr">
        <is>
          <t>OUEST</t>
        </is>
      </c>
      <c r="H15" s="106" t="n"/>
      <c r="I15" s="61" t="inlineStr">
        <is>
          <t>Results</t>
        </is>
      </c>
      <c r="J15" s="2" t="n"/>
    </row>
    <row r="16" ht="19" customHeight="1">
      <c r="A16" s="10" t="n"/>
      <c r="B16" s="62" t="n"/>
      <c r="C16" s="71" t="inlineStr">
        <is>
          <t>76ers (7) vs Magic (8)</t>
        </is>
      </c>
      <c r="D16" s="105" t="n"/>
      <c r="E16" s="71" t="inlineStr">
        <is>
          <t>PI 1</t>
        </is>
      </c>
      <c r="F16" s="105" t="n"/>
      <c r="G16" s="71" t="inlineStr">
        <is>
          <t>Suns (7) vs Blazers (8)</t>
        </is>
      </c>
      <c r="H16" s="105" t="n"/>
      <c r="I16" s="71" t="n"/>
    </row>
    <row r="17" ht="19" customHeight="1">
      <c r="A17" s="10" t="n"/>
      <c r="B17" s="62" t="n"/>
      <c r="C17" s="71" t="inlineStr">
        <is>
          <t>Hornets (9) vs Heat (10)</t>
        </is>
      </c>
      <c r="D17" s="105" t="n"/>
      <c r="E17" s="71" t="inlineStr">
        <is>
          <t>PI 2</t>
        </is>
      </c>
      <c r="F17" s="105" t="n"/>
      <c r="G17" s="107" t="inlineStr">
        <is>
          <t>Clippers (9) vs Warriors (10)</t>
        </is>
      </c>
      <c r="H17" s="105" t="n"/>
      <c r="I17" s="71" t="n"/>
    </row>
    <row r="18" ht="19" customHeight="1">
      <c r="A18" s="10" t="n"/>
      <c r="B18" s="62" t="n"/>
      <c r="C18" s="71" t="n"/>
      <c r="D18" s="105" t="n"/>
      <c r="E18" s="71" t="inlineStr">
        <is>
          <t>L PI 1 vs W PI 2</t>
        </is>
      </c>
      <c r="F18" s="105" t="n"/>
      <c r="G18" s="71" t="n"/>
      <c r="H18" s="105" t="n"/>
      <c r="I18" s="71" t="n"/>
    </row>
    <row r="19" ht="10" customHeight="1" thickBot="1">
      <c r="B19" s="3" t="n"/>
    </row>
    <row r="20" ht="32" customHeight="1" thickBot="1">
      <c r="C20" s="91" t="inlineStr">
        <is>
          <t>WILL</t>
        </is>
      </c>
      <c r="D20" s="108" t="n"/>
      <c r="E20" s="93" t="inlineStr">
        <is>
          <t>OLI</t>
        </is>
      </c>
      <c r="F20" s="109" t="n"/>
      <c r="G20" s="110" t="inlineStr">
        <is>
          <t>MIK</t>
        </is>
      </c>
      <c r="H20" s="111" t="n"/>
      <c r="I20" s="93" t="inlineStr">
        <is>
          <t>THOM</t>
        </is>
      </c>
      <c r="J20" s="109" t="n"/>
      <c r="K20" s="110" t="inlineStr">
        <is>
          <t>SAM</t>
        </is>
      </c>
      <c r="L20" s="111" t="n"/>
      <c r="M20" s="96" t="inlineStr">
        <is>
          <t>DOUSKI</t>
        </is>
      </c>
      <c r="N20" s="112" t="n"/>
    </row>
    <row r="21" ht="20" customHeight="1">
      <c r="A21" s="113" t="inlineStr">
        <is>
          <t>Première ronde</t>
        </is>
      </c>
      <c r="B21" s="64" t="inlineStr">
        <is>
          <t>Pistons (1) vs (8)</t>
        </is>
      </c>
      <c r="C21" s="12" t="inlineStr">
        <is>
          <t>Pistons en 6</t>
        </is>
      </c>
      <c r="D21" s="13" t="n">
        <v>2</v>
      </c>
      <c r="E21" s="14" t="n"/>
      <c r="F21" s="15" t="n"/>
      <c r="G21" s="16" t="n"/>
      <c r="H21" s="17" t="n"/>
      <c r="I21" s="18" t="n"/>
      <c r="J21" s="19" t="n"/>
      <c r="K21" s="16" t="n"/>
      <c r="L21" s="17" t="n"/>
      <c r="M21" s="18" t="n"/>
      <c r="N21" s="17" t="n"/>
    </row>
    <row r="22" ht="20" customHeight="1">
      <c r="A22" s="114" t="n"/>
      <c r="B22" s="65" t="inlineStr">
        <is>
          <t>Cavs (4) vs Raptors (5)</t>
        </is>
      </c>
      <c r="C22" s="20" t="n"/>
      <c r="D22" s="21" t="n"/>
      <c r="E22" s="22" t="n"/>
      <c r="F22" s="23" t="n"/>
      <c r="G22" s="24" t="n"/>
      <c r="H22" s="25" t="n"/>
      <c r="I22" s="26" t="n"/>
      <c r="J22" s="27" t="n"/>
      <c r="K22" s="24" t="n"/>
      <c r="L22" s="25" t="n"/>
      <c r="M22" s="26" t="n"/>
      <c r="N22" s="25" t="n"/>
    </row>
    <row r="23" ht="20" customHeight="1">
      <c r="A23" s="114" t="n"/>
      <c r="B23" s="65" t="inlineStr">
        <is>
          <t>Knicks (3) vs Hawks (6)</t>
        </is>
      </c>
      <c r="C23" s="20" t="n"/>
      <c r="D23" s="21" t="n"/>
      <c r="E23" s="22" t="n"/>
      <c r="F23" s="23" t="n"/>
      <c r="G23" s="24" t="n"/>
      <c r="H23" s="25" t="n"/>
      <c r="I23" s="26" t="n"/>
      <c r="J23" s="27" t="n"/>
      <c r="K23" s="24" t="n"/>
      <c r="L23" s="25" t="n"/>
      <c r="M23" s="26" t="n"/>
      <c r="N23" s="25" t="n"/>
    </row>
    <row r="24" ht="20" customHeight="1">
      <c r="A24" s="114" t="n"/>
      <c r="B24" s="65" t="inlineStr">
        <is>
          <t>Celtics (2) vs (7)</t>
        </is>
      </c>
      <c r="C24" s="20" t="n"/>
      <c r="D24" s="21" t="n"/>
      <c r="E24" s="22" t="n"/>
      <c r="F24" s="23" t="n"/>
      <c r="G24" s="24" t="n"/>
      <c r="H24" s="25" t="n"/>
      <c r="I24" s="26" t="n"/>
      <c r="J24" s="27" t="n"/>
      <c r="K24" s="24" t="n"/>
      <c r="L24" s="25" t="n"/>
      <c r="M24" s="26" t="n"/>
      <c r="N24" s="25" t="n"/>
    </row>
    <row r="25" ht="20" customHeight="1">
      <c r="A25" s="114" t="n"/>
      <c r="B25" s="65" t="inlineStr">
        <is>
          <t>Thunder (1) vs (8)</t>
        </is>
      </c>
      <c r="C25" s="20" t="n"/>
      <c r="D25" s="21" t="n"/>
      <c r="E25" s="22" t="n"/>
      <c r="F25" s="23" t="n"/>
      <c r="G25" s="24" t="n"/>
      <c r="H25" s="25" t="n"/>
      <c r="I25" s="26" t="n"/>
      <c r="J25" s="27" t="n"/>
      <c r="K25" s="24" t="n"/>
      <c r="L25" s="25" t="n"/>
      <c r="M25" s="26" t="n"/>
      <c r="N25" s="25" t="n"/>
    </row>
    <row r="26" ht="20" customHeight="1">
      <c r="A26" s="114" t="n"/>
      <c r="B26" s="65" t="inlineStr">
        <is>
          <t>Lakers (4) vs Rockets (5)</t>
        </is>
      </c>
      <c r="C26" s="20" t="n"/>
      <c r="D26" s="21" t="n"/>
      <c r="E26" s="22" t="n"/>
      <c r="F26" s="23" t="n"/>
      <c r="G26" s="24" t="n"/>
      <c r="H26" s="25" t="n"/>
      <c r="I26" s="26" t="n"/>
      <c r="J26" s="27" t="n"/>
      <c r="K26" s="24" t="n"/>
      <c r="L26" s="25" t="n"/>
      <c r="M26" s="26" t="n"/>
      <c r="N26" s="25" t="n"/>
    </row>
    <row r="27" ht="20" customHeight="1">
      <c r="A27" s="114" t="n"/>
      <c r="B27" s="65" t="inlineStr">
        <is>
          <t>Nuggets (3) vs Wolves (6)</t>
        </is>
      </c>
      <c r="C27" s="20" t="n"/>
      <c r="D27" s="21" t="n"/>
      <c r="E27" s="22" t="n"/>
      <c r="F27" s="23" t="n"/>
      <c r="G27" s="24" t="n"/>
      <c r="H27" s="25" t="n"/>
      <c r="I27" s="26" t="n"/>
      <c r="J27" s="27" t="n"/>
      <c r="K27" s="24" t="n"/>
      <c r="L27" s="25" t="n"/>
      <c r="M27" s="26" t="n"/>
      <c r="N27" s="25" t="n"/>
    </row>
    <row r="28" ht="20" customHeight="1" thickBot="1">
      <c r="A28" s="114" t="n"/>
      <c r="B28" s="66" t="inlineStr">
        <is>
          <t>Spurs (2) vs (7)</t>
        </is>
      </c>
      <c r="C28" s="28" t="n"/>
      <c r="D28" s="29" t="n"/>
      <c r="E28" s="30" t="n"/>
      <c r="F28" s="31" t="n"/>
      <c r="G28" s="32" t="n"/>
      <c r="H28" s="33" t="n"/>
      <c r="I28" s="34" t="n"/>
      <c r="J28" s="35" t="n"/>
      <c r="K28" s="32" t="n"/>
      <c r="L28" s="33" t="n"/>
      <c r="M28" s="34" t="n"/>
      <c r="N28" s="33" t="n"/>
    </row>
    <row r="29" ht="20" customHeight="1" thickBot="1">
      <c r="A29" s="115" t="n"/>
      <c r="B29" s="67" t="inlineStr">
        <is>
          <t>Nb points / 16</t>
        </is>
      </c>
      <c r="C29" s="116">
        <f>D22+D21+D23+D24+D25+D26+D27+D28</f>
        <v/>
      </c>
      <c r="D29" s="117" t="n"/>
      <c r="E29" s="116">
        <f>F22+F21+F23+F24+F25+F26+F27+F28</f>
        <v/>
      </c>
      <c r="F29" s="117" t="n"/>
      <c r="G29" s="116">
        <f>H22+H21+H23+H24+H25+H26+H27+H28</f>
        <v/>
      </c>
      <c r="H29" s="117" t="n"/>
      <c r="I29" s="116">
        <f>J22+J21+J23+J24+J25+J26+J27+J28</f>
        <v/>
      </c>
      <c r="J29" s="117" t="n"/>
      <c r="K29" s="116">
        <f>L22+L21+L23+L24+L25+L26+L27+L28</f>
        <v/>
      </c>
      <c r="L29" s="117" t="n"/>
      <c r="M29" s="116">
        <f>N22+N21+N23+N24+N25+N26+N27+N28</f>
        <v/>
      </c>
      <c r="N29" s="117" t="n"/>
    </row>
    <row r="30" ht="20" customHeight="1">
      <c r="A30" s="118" t="inlineStr">
        <is>
          <t>Deuxième ronde</t>
        </is>
      </c>
      <c r="B30" s="68" t="n"/>
      <c r="C30" s="36" t="n"/>
      <c r="D30" s="37" t="n"/>
      <c r="E30" s="38" t="n"/>
      <c r="F30" s="39" t="n"/>
      <c r="G30" s="40" t="n"/>
      <c r="H30" s="41" t="n"/>
      <c r="I30" s="42" t="n"/>
      <c r="J30" s="43" t="n"/>
      <c r="K30" s="40" t="n"/>
      <c r="L30" s="41" t="n"/>
      <c r="M30" s="42" t="n"/>
      <c r="N30" s="41" t="n"/>
    </row>
    <row r="31" ht="20" customHeight="1">
      <c r="A31" s="114" t="n"/>
      <c r="B31" s="65" t="n"/>
      <c r="C31" s="20" t="n"/>
      <c r="D31" s="21" t="n"/>
      <c r="E31" s="22" t="n"/>
      <c r="F31" s="23" t="n"/>
      <c r="G31" s="24" t="n"/>
      <c r="H31" s="25" t="n"/>
      <c r="I31" s="26" t="n"/>
      <c r="J31" s="27" t="n"/>
      <c r="K31" s="24" t="n"/>
      <c r="L31" s="25" t="n"/>
      <c r="M31" s="26" t="n"/>
      <c r="N31" s="25" t="n"/>
    </row>
    <row r="32" ht="20" customHeight="1">
      <c r="A32" s="114" t="n"/>
      <c r="B32" s="65" t="n"/>
      <c r="C32" s="20" t="n"/>
      <c r="D32" s="21" t="n"/>
      <c r="E32" s="22" t="n"/>
      <c r="F32" s="23" t="n"/>
      <c r="G32" s="24" t="n"/>
      <c r="H32" s="25" t="n"/>
      <c r="I32" s="26" t="n"/>
      <c r="J32" s="27" t="n"/>
      <c r="K32" s="24" t="n"/>
      <c r="L32" s="25" t="n"/>
      <c r="M32" s="26" t="n"/>
      <c r="N32" s="25" t="n"/>
    </row>
    <row r="33" ht="20" customHeight="1" thickBot="1">
      <c r="A33" s="114" t="n"/>
      <c r="B33" s="66" t="n"/>
      <c r="C33" s="28" t="n"/>
      <c r="D33" s="29" t="n"/>
      <c r="E33" s="30" t="n"/>
      <c r="F33" s="31" t="n"/>
      <c r="G33" s="32" t="n"/>
      <c r="H33" s="33" t="n"/>
      <c r="I33" s="34" t="n"/>
      <c r="J33" s="35" t="n"/>
      <c r="K33" s="32" t="n"/>
      <c r="L33" s="33" t="n"/>
      <c r="M33" s="34" t="n"/>
      <c r="N33" s="33" t="n"/>
    </row>
    <row r="34" ht="20" customHeight="1" thickBot="1">
      <c r="A34" s="115" t="n"/>
      <c r="B34" s="67" t="inlineStr">
        <is>
          <t>Nb points / 8</t>
        </is>
      </c>
      <c r="C34" s="116">
        <f>D30+D31+D32+D33</f>
        <v/>
      </c>
      <c r="D34" s="117" t="n"/>
      <c r="E34" s="116">
        <f>F30+F31+F32+F33</f>
        <v/>
      </c>
      <c r="F34" s="117" t="n"/>
      <c r="G34" s="116">
        <f>H30+H31+H32+H33</f>
        <v/>
      </c>
      <c r="H34" s="117" t="n"/>
      <c r="I34" s="116">
        <f>J30+J31+J32+J33</f>
        <v/>
      </c>
      <c r="J34" s="117" t="n"/>
      <c r="K34" s="116">
        <f>L30+L31+L32+L33</f>
        <v/>
      </c>
      <c r="L34" s="117" t="n"/>
      <c r="M34" s="116">
        <f>N30+N31+N32+N33</f>
        <v/>
      </c>
      <c r="N34" s="117" t="n"/>
    </row>
    <row r="35" ht="20" customHeight="1">
      <c r="A35" s="118" t="inlineStr">
        <is>
          <t>Final four</t>
        </is>
      </c>
      <c r="B35" s="6" t="n"/>
      <c r="C35" s="44" t="n"/>
      <c r="D35" s="45" t="n"/>
      <c r="E35" s="42" t="n"/>
      <c r="F35" s="43" t="n"/>
      <c r="G35" s="40" t="n"/>
      <c r="H35" s="41" t="n"/>
      <c r="I35" s="42" t="n"/>
      <c r="J35" s="43" t="n"/>
      <c r="K35" s="40" t="n"/>
      <c r="L35" s="41" t="n"/>
      <c r="M35" s="42" t="n"/>
      <c r="N35" s="41" t="n"/>
    </row>
    <row r="36" ht="20" customHeight="1">
      <c r="A36" s="114" t="n"/>
      <c r="B36" s="65" t="inlineStr">
        <is>
          <t>MVP de l’EST</t>
        </is>
      </c>
      <c r="C36" s="46" t="n"/>
      <c r="D36" s="47" t="n"/>
      <c r="E36" s="26" t="n"/>
      <c r="F36" s="27" t="n"/>
      <c r="G36" s="24" t="n"/>
      <c r="H36" s="25" t="n"/>
      <c r="I36" s="26" t="n"/>
      <c r="J36" s="27" t="n"/>
      <c r="K36" s="24" t="n"/>
      <c r="L36" s="25" t="n"/>
      <c r="M36" s="26" t="n"/>
      <c r="N36" s="25" t="n"/>
    </row>
    <row r="37" ht="20" customHeight="1">
      <c r="A37" s="114" t="n"/>
      <c r="B37" s="7" t="n"/>
      <c r="C37" s="46" t="n"/>
      <c r="D37" s="47" t="n"/>
      <c r="E37" s="26" t="n"/>
      <c r="F37" s="27" t="n"/>
      <c r="G37" s="24" t="n"/>
      <c r="H37" s="25" t="n"/>
      <c r="I37" s="26" t="n"/>
      <c r="J37" s="27" t="n"/>
      <c r="K37" s="24" t="n"/>
      <c r="L37" s="25" t="n"/>
      <c r="M37" s="26" t="n"/>
      <c r="N37" s="25" t="n"/>
    </row>
    <row r="38" ht="20" customHeight="1" thickBot="1">
      <c r="A38" s="114" t="n"/>
      <c r="B38" s="66" t="inlineStr">
        <is>
          <t>MVP de l’OUEST</t>
        </is>
      </c>
      <c r="C38" s="50" t="n"/>
      <c r="D38" s="51" t="n"/>
      <c r="E38" s="34" t="n"/>
      <c r="F38" s="35" t="n"/>
      <c r="G38" s="32" t="n"/>
      <c r="H38" s="33" t="n"/>
      <c r="I38" s="34" t="n"/>
      <c r="J38" s="35" t="n"/>
      <c r="K38" s="32" t="n"/>
      <c r="L38" s="33" t="n"/>
      <c r="M38" s="34" t="n"/>
      <c r="N38" s="33" t="n"/>
    </row>
    <row r="39" ht="20" customHeight="1" thickBot="1">
      <c r="A39" s="115" t="n"/>
      <c r="B39" s="67" t="inlineStr">
        <is>
          <t>Nb points / 6</t>
        </is>
      </c>
      <c r="C39" s="116">
        <f>D35+D36+D37+D38</f>
        <v/>
      </c>
      <c r="D39" s="117" t="n"/>
      <c r="E39" s="116">
        <f>F35+F36+F37+F38</f>
        <v/>
      </c>
      <c r="F39" s="117" t="n"/>
      <c r="G39" s="116">
        <f>H35+H36+H37+H38</f>
        <v/>
      </c>
      <c r="H39" s="117" t="n"/>
      <c r="I39" s="116">
        <f>J35+J36+J37+J38</f>
        <v/>
      </c>
      <c r="J39" s="117" t="n"/>
      <c r="K39" s="116">
        <f>L35+L36+L37+L38</f>
        <v/>
      </c>
      <c r="L39" s="117" t="n"/>
      <c r="M39" s="116">
        <f>N35+N36+N37+N38</f>
        <v/>
      </c>
      <c r="N39" s="117" t="n"/>
    </row>
    <row r="40" ht="20" customHeight="1">
      <c r="A40" s="119" t="inlineStr">
        <is>
          <t>Finales</t>
        </is>
      </c>
      <c r="B40" s="69" t="n"/>
      <c r="C40" s="44" t="n"/>
      <c r="D40" s="45" t="n"/>
      <c r="E40" s="48" t="n"/>
      <c r="F40" s="49" t="n"/>
      <c r="G40" s="44" t="n"/>
      <c r="H40" s="45" t="n"/>
      <c r="I40" s="48" t="n"/>
      <c r="J40" s="49" t="n"/>
      <c r="K40" s="44" t="n"/>
      <c r="L40" s="45" t="n"/>
      <c r="M40" s="48" t="n"/>
      <c r="N40" s="45" t="n"/>
    </row>
    <row r="41" ht="20" customHeight="1" thickBot="1">
      <c r="A41" s="120" t="n"/>
      <c r="B41" s="70" t="inlineStr">
        <is>
          <t>MVP des FINALES</t>
        </is>
      </c>
      <c r="C41" s="50" t="n"/>
      <c r="D41" s="51" t="n"/>
      <c r="E41" s="52" t="n"/>
      <c r="F41" s="53" t="n"/>
      <c r="G41" s="50" t="n"/>
      <c r="H41" s="51" t="n"/>
      <c r="I41" s="52" t="n"/>
      <c r="J41" s="53" t="n"/>
      <c r="K41" s="50" t="n"/>
      <c r="L41" s="51" t="n"/>
      <c r="M41" s="52" t="n"/>
      <c r="N41" s="51" t="n"/>
    </row>
    <row r="42" ht="20" customHeight="1" thickBot="1">
      <c r="A42" s="121" t="n"/>
      <c r="B42" s="67" t="inlineStr">
        <is>
          <t>Nb points / 3</t>
        </is>
      </c>
      <c r="C42" s="116">
        <f>D41+D40</f>
        <v/>
      </c>
      <c r="D42" s="117" t="n"/>
      <c r="E42" s="116">
        <f>F41+F40</f>
        <v/>
      </c>
      <c r="F42" s="117" t="n"/>
      <c r="G42" s="116">
        <f>H41+H40</f>
        <v/>
      </c>
      <c r="H42" s="117" t="n"/>
      <c r="I42" s="116">
        <f>J41+J40</f>
        <v/>
      </c>
      <c r="J42" s="117" t="n"/>
      <c r="K42" s="116">
        <f>L41+L40</f>
        <v/>
      </c>
      <c r="L42" s="117" t="n"/>
      <c r="M42" s="116">
        <f>N41+N40</f>
        <v/>
      </c>
      <c r="N42" s="117" t="n"/>
    </row>
    <row r="43" ht="37" customHeight="1" thickBot="1">
      <c r="A43" s="11" t="inlineStr">
        <is>
          <t>Total</t>
        </is>
      </c>
      <c r="B43" s="63" t="inlineStr">
        <is>
          <t>Nb points / 33</t>
        </is>
      </c>
      <c r="C43" s="122">
        <f>C29+C34+C39+C42</f>
        <v/>
      </c>
      <c r="D43" s="117" t="n"/>
      <c r="E43" s="122">
        <f>E29+E34+E39+E42</f>
        <v/>
      </c>
      <c r="F43" s="117" t="n"/>
      <c r="G43" s="122">
        <f>G29+G34+G39+G42</f>
        <v/>
      </c>
      <c r="H43" s="117" t="n"/>
      <c r="I43" s="122">
        <f>I29+I34+I39+I42</f>
        <v/>
      </c>
      <c r="J43" s="117" t="n"/>
      <c r="K43" s="122">
        <f>K29+K34+K39+K42</f>
        <v/>
      </c>
      <c r="L43" s="117" t="n"/>
      <c r="M43" s="122">
        <f>M29+M34+M39+M42</f>
        <v/>
      </c>
      <c r="N43" s="117" t="n"/>
    </row>
    <row r="45">
      <c r="B45" s="4" t="n"/>
      <c r="C45" s="4" t="n"/>
      <c r="D45" s="4" t="n"/>
      <c r="E45" s="4" t="n"/>
      <c r="F45" s="4" t="n"/>
      <c r="G45" s="4" t="n"/>
      <c r="H45" s="4" t="n"/>
    </row>
    <row r="46" ht="26" customHeight="1">
      <c r="C46" s="73" t="n"/>
      <c r="D46" s="73" t="n"/>
      <c r="E46" s="73" t="n"/>
      <c r="I46" s="123" t="inlineStr">
        <is>
          <t>POSITIONS</t>
        </is>
      </c>
      <c r="J46" s="104" t="n"/>
      <c r="K46" s="105" t="n"/>
      <c r="L46" s="56" t="n"/>
      <c r="N46" s="56" t="n"/>
    </row>
    <row r="47" ht="20" customHeight="1">
      <c r="C47" s="73" t="n"/>
      <c r="D47" s="59">
        <f>RANK(F47,F$47:F$52)+COUNTIF($F$47:F47,F47)-1</f>
        <v/>
      </c>
      <c r="E47" s="60" t="inlineStr">
        <is>
          <t>WILL</t>
        </is>
      </c>
      <c r="F47" s="60">
        <f>C43</f>
        <v/>
      </c>
      <c r="I47" s="58" t="n">
        <v>1</v>
      </c>
      <c r="J47" s="5">
        <f>VLOOKUP(I47,D$47:F$52,3,FALSE)</f>
        <v/>
      </c>
      <c r="K47" s="5">
        <f>VLOOKUP(I47,D$47:F$52,2,FALSE)</f>
        <v/>
      </c>
    </row>
    <row r="48" ht="20" customHeight="1">
      <c r="C48" s="73" t="n"/>
      <c r="D48" s="59">
        <f>RANK(F48,F$47:F$52)+COUNTIF($F$47:F48,F48)-1</f>
        <v/>
      </c>
      <c r="E48" s="60" t="inlineStr">
        <is>
          <t>OLI</t>
        </is>
      </c>
      <c r="F48" s="60">
        <f>E43</f>
        <v/>
      </c>
      <c r="G48" s="57" t="n"/>
      <c r="I48" s="58" t="n">
        <v>2</v>
      </c>
      <c r="J48" s="5">
        <f>VLOOKUP(I48,D$47:F$52,3,FALSE)</f>
        <v/>
      </c>
      <c r="K48" s="5">
        <f>VLOOKUP(I48,D$47:F$52,2,FALSE)</f>
        <v/>
      </c>
    </row>
    <row r="49" ht="20" customHeight="1">
      <c r="C49" s="73" t="n"/>
      <c r="D49" s="59">
        <f>RANK(F49,F$47:F$52)+COUNTIF($F$47:F49,F49)-1</f>
        <v/>
      </c>
      <c r="E49" s="60" t="inlineStr">
        <is>
          <t>MIK</t>
        </is>
      </c>
      <c r="F49" s="60">
        <f>G43</f>
        <v/>
      </c>
      <c r="I49" s="58" t="n">
        <v>3</v>
      </c>
      <c r="J49" s="5">
        <f>VLOOKUP(I49,D$47:F$52,3,FALSE)</f>
        <v/>
      </c>
      <c r="K49" s="5">
        <f>VLOOKUP(I49,D$47:F$52,2,FALSE)</f>
        <v/>
      </c>
    </row>
    <row r="50" ht="20" customHeight="1">
      <c r="C50" s="73" t="n"/>
      <c r="D50" s="59">
        <f>RANK(F50,F$47:F$52)+COUNTIF($F$47:F50,F50)-1</f>
        <v/>
      </c>
      <c r="E50" s="60" t="inlineStr">
        <is>
          <t>THOM</t>
        </is>
      </c>
      <c r="F50" s="60">
        <f>I43</f>
        <v/>
      </c>
      <c r="I50" s="58" t="n">
        <v>4</v>
      </c>
      <c r="J50" s="5">
        <f>VLOOKUP(I50,D$47:F$52,3,FALSE)</f>
        <v/>
      </c>
      <c r="K50" s="5">
        <f>VLOOKUP(I50,D$47:F$52,2,FALSE)</f>
        <v/>
      </c>
    </row>
    <row r="51" ht="20" customHeight="1">
      <c r="C51" s="73" t="n"/>
      <c r="D51" s="59">
        <f>RANK(F51,F$47:F$52)+COUNTIF($F$47:F51,F51)-1</f>
        <v/>
      </c>
      <c r="E51" s="60" t="inlineStr">
        <is>
          <t>SAM</t>
        </is>
      </c>
      <c r="F51" s="60">
        <f>K43</f>
        <v/>
      </c>
      <c r="G51" s="57" t="n"/>
      <c r="I51" s="58" t="n">
        <v>5</v>
      </c>
      <c r="J51" s="5">
        <f>VLOOKUP(I51,D$47:F$52,3,FALSE)</f>
        <v/>
      </c>
      <c r="K51" s="5">
        <f>VLOOKUP(I51,D$47:F$52,2,FALSE)</f>
        <v/>
      </c>
    </row>
    <row r="52" ht="20" customHeight="1">
      <c r="D52" s="59">
        <f>RANK(F52,F$47:F$52)+COUNTIF($F$47:F52,F52)-1</f>
        <v/>
      </c>
      <c r="E52" s="60" t="inlineStr">
        <is>
          <t>DOUSKI</t>
        </is>
      </c>
      <c r="F52" s="60">
        <f>M43</f>
        <v/>
      </c>
      <c r="I52" s="58" t="n">
        <v>6</v>
      </c>
      <c r="J52" s="5">
        <f>VLOOKUP(I52,D$47:F$52,3,FALSE)</f>
        <v/>
      </c>
      <c r="K52" s="5">
        <f>VLOOKUP(I52,D$47:F$52,2,FALSE)</f>
        <v/>
      </c>
    </row>
  </sheetData>
  <mergeCells count="63">
    <mergeCell ref="E43:F43"/>
    <mergeCell ref="C34:D34"/>
    <mergeCell ref="I34:J34"/>
    <mergeCell ref="G43:H43"/>
    <mergeCell ref="M43:N43"/>
    <mergeCell ref="K34:L34"/>
    <mergeCell ref="M34:N34"/>
    <mergeCell ref="C15:D15"/>
    <mergeCell ref="G42:H42"/>
    <mergeCell ref="C42:D42"/>
    <mergeCell ref="A11:E11"/>
    <mergeCell ref="A21:A29"/>
    <mergeCell ref="E42:F42"/>
    <mergeCell ref="M39:N39"/>
    <mergeCell ref="E17:F17"/>
    <mergeCell ref="A6:E6"/>
    <mergeCell ref="E39:F39"/>
    <mergeCell ref="G17:H17"/>
    <mergeCell ref="G39:H39"/>
    <mergeCell ref="A1:N1"/>
    <mergeCell ref="C20:D20"/>
    <mergeCell ref="K29:L29"/>
    <mergeCell ref="E20:F20"/>
    <mergeCell ref="K20:L20"/>
    <mergeCell ref="C29:D29"/>
    <mergeCell ref="C16:D16"/>
    <mergeCell ref="M20:N20"/>
    <mergeCell ref="A35:A39"/>
    <mergeCell ref="E29:F29"/>
    <mergeCell ref="A7:E7"/>
    <mergeCell ref="B14:I14"/>
    <mergeCell ref="G18:H18"/>
    <mergeCell ref="A40:A42"/>
    <mergeCell ref="A3:E3"/>
    <mergeCell ref="E34:F34"/>
    <mergeCell ref="C43:D43"/>
    <mergeCell ref="I43:J43"/>
    <mergeCell ref="A12:E12"/>
    <mergeCell ref="G34:H34"/>
    <mergeCell ref="K43:L43"/>
    <mergeCell ref="A30:A34"/>
    <mergeCell ref="E15:F15"/>
    <mergeCell ref="G15:H15"/>
    <mergeCell ref="I42:J42"/>
    <mergeCell ref="K42:L42"/>
    <mergeCell ref="M42:N42"/>
    <mergeCell ref="A5:E5"/>
    <mergeCell ref="I39:J39"/>
    <mergeCell ref="K39:L39"/>
    <mergeCell ref="C17:D17"/>
    <mergeCell ref="C39:D39"/>
    <mergeCell ref="G29:H29"/>
    <mergeCell ref="G20:H20"/>
    <mergeCell ref="A4:E4"/>
    <mergeCell ref="I46:K46"/>
    <mergeCell ref="I20:J20"/>
    <mergeCell ref="E16:F16"/>
    <mergeCell ref="M29:N29"/>
    <mergeCell ref="I29:J29"/>
    <mergeCell ref="G16:H16"/>
    <mergeCell ref="C18:D18"/>
    <mergeCell ref="E18:F18"/>
    <mergeCell ref="A9:E9"/>
  </mergeCells>
  <hyperlinks>
    <hyperlink xmlns:r="http://schemas.openxmlformats.org/officeDocument/2006/relationships" ref="A12" r:id="rId1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William Bergeron</dc:creator>
  <dcterms:created xsi:type="dcterms:W3CDTF">2025-04-16T00:58:38Z</dcterms:created>
  <dcterms:modified xsi:type="dcterms:W3CDTF">2026-04-14T02:32:52Z</dcterms:modified>
  <cp:lastModifiedBy>William Bergeron</cp:lastModifiedBy>
</cp:coreProperties>
</file>