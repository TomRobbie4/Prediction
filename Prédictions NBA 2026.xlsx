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lliambergeron/Desktop/Prediction/"/>
    </mc:Choice>
  </mc:AlternateContent>
  <xr:revisionPtr revIDLastSave="0" documentId="13_ncr:1_{7501FC2C-9697-374C-AE21-8AF7F2656050}" xr6:coauthVersionLast="47" xr6:coauthVersionMax="47" xr10:uidLastSave="{00000000-0000-0000-0000-000000000000}"/>
  <bookViews>
    <workbookView xWindow="0" yWindow="660" windowWidth="29400" windowHeight="17400" xr2:uid="{6BB275FB-A7C3-0248-A270-0BCA07F45B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1" i="1"/>
  <c r="C42" i="1"/>
  <c r="E42" i="1"/>
  <c r="G42" i="1"/>
  <c r="I42" i="1"/>
  <c r="K42" i="1"/>
  <c r="M42" i="1"/>
  <c r="E39" i="1"/>
  <c r="G39" i="1"/>
  <c r="I39" i="1"/>
  <c r="K39" i="1"/>
  <c r="M39" i="1"/>
  <c r="C39" i="1"/>
  <c r="E34" i="1"/>
  <c r="G34" i="1"/>
  <c r="I34" i="1"/>
  <c r="K34" i="1"/>
  <c r="M34" i="1"/>
  <c r="C34" i="1"/>
  <c r="E29" i="1"/>
  <c r="G29" i="1"/>
  <c r="I29" i="1"/>
  <c r="K29" i="1"/>
  <c r="M29" i="1"/>
  <c r="C29" i="1"/>
  <c r="C43" i="1" l="1"/>
  <c r="F47" i="1" s="1"/>
  <c r="M43" i="1"/>
  <c r="I43" i="1"/>
  <c r="F50" i="1" s="1"/>
  <c r="E43" i="1"/>
  <c r="F48" i="1" s="1"/>
  <c r="K43" i="1"/>
  <c r="G43" i="1"/>
  <c r="F49" i="1" s="1"/>
  <c r="D52" i="1" l="1"/>
  <c r="D48" i="1"/>
  <c r="D49" i="1"/>
  <c r="D47" i="1"/>
  <c r="D51" i="1"/>
  <c r="D50" i="1"/>
  <c r="J49" i="1" l="1"/>
  <c r="J48" i="1"/>
  <c r="J50" i="1"/>
  <c r="K50" i="1"/>
  <c r="K52" i="1"/>
  <c r="J52" i="1"/>
  <c r="K47" i="1"/>
  <c r="K49" i="1"/>
  <c r="J51" i="1"/>
  <c r="J47" i="1"/>
  <c r="K51" i="1"/>
  <c r="K48" i="1"/>
</calcChain>
</file>

<file path=xl/sharedStrings.xml><?xml version="1.0" encoding="utf-8"?>
<sst xmlns="http://schemas.openxmlformats.org/spreadsheetml/2006/main" count="56" uniqueCount="49">
  <si>
    <t>Règles</t>
  </si>
  <si>
    <t>2 points si tu as la bonne équipe et le bon nombre de matchs.</t>
  </si>
  <si>
    <t>1 point si tu as la bonne équipe.</t>
  </si>
  <si>
    <t>0 point si tu n’as pas la bonne équipe même si tu as misé sur le bon nombre de matchs.</t>
  </si>
  <si>
    <t>1 point si tu as le bon MVP.</t>
  </si>
  <si>
    <t>20$/personne</t>
  </si>
  <si>
    <t>Pour suivre les playoffs:</t>
  </si>
  <si>
    <t>Play-in results</t>
  </si>
  <si>
    <t>Results</t>
  </si>
  <si>
    <t>EST</t>
  </si>
  <si>
    <t>MATCHUPS</t>
  </si>
  <si>
    <t>OUEST</t>
  </si>
  <si>
    <t>PI 1</t>
  </si>
  <si>
    <t>PI 2</t>
  </si>
  <si>
    <t>L PI 1 vs W PI 2</t>
  </si>
  <si>
    <t>WILL</t>
  </si>
  <si>
    <t>OLI</t>
  </si>
  <si>
    <t>MIK</t>
  </si>
  <si>
    <t>Première ronde</t>
  </si>
  <si>
    <t>Thunder (1) vs (8)</t>
  </si>
  <si>
    <t>Nb points / 16</t>
  </si>
  <si>
    <t>Deuxième ronde</t>
  </si>
  <si>
    <t>Nb points / 8</t>
  </si>
  <si>
    <t>Final four</t>
  </si>
  <si>
    <t>MVP de l’EST</t>
  </si>
  <si>
    <t>MVP de l’OUEST</t>
  </si>
  <si>
    <t>Nb points / 6</t>
  </si>
  <si>
    <t>Finales</t>
  </si>
  <si>
    <t>MVP des FINALES</t>
  </si>
  <si>
    <t>Nb points / 3</t>
  </si>
  <si>
    <t>Total</t>
  </si>
  <si>
    <t>Nb points / 33</t>
  </si>
  <si>
    <t>POSITIONS</t>
  </si>
  <si>
    <t>THOM</t>
  </si>
  <si>
    <t>SAM</t>
  </si>
  <si>
    <t>Playoffs Predictions 2026</t>
  </si>
  <si>
    <t>Suns (7) vs Blazers (8)</t>
  </si>
  <si>
    <t>76ers (7) vs Magic (8)</t>
  </si>
  <si>
    <t>Hornets (9) vs Heat (10)</t>
  </si>
  <si>
    <t>https://www.nba.com/playoffs/2026</t>
  </si>
  <si>
    <t>Clippers (9) vs Warriors (10)</t>
  </si>
  <si>
    <t>Celtics (2) vs (7)</t>
  </si>
  <si>
    <t>Knicks (3) vs Hawks (6)</t>
  </si>
  <si>
    <t>Cavs (4) vs Raptors (5)</t>
  </si>
  <si>
    <t>Pistons (1) vs (8)</t>
  </si>
  <si>
    <t>Lakers (4) vs Rockets (5)</t>
  </si>
  <si>
    <t>Nuggets (3) vs Wolves (6)</t>
  </si>
  <si>
    <t>Spurs (2) vs (7)</t>
  </si>
  <si>
    <t>DOUSKI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</si>
</sst>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6"/>
      <color rgb="FF434343"/>
      <name val="Times New Roman"/>
      <family val="1"/>
    </font>
    <font>
      <b/>
      <sz val="16"/>
      <color rgb="FF434343"/>
      <name val="Times New Roman"/>
      <family val="1"/>
    </font>
    <font>
      <b/>
      <sz val="9"/>
      <color rgb="FF434343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theme="0"/>
      <name val="Times New Roman"/>
      <family val="1"/>
    </font>
    <font>
      <sz val="11"/>
      <color theme="1"/>
      <name val="Aptos Narrow"/>
      <family val="2"/>
      <scheme val="minor"/>
    </font>
    <font>
      <b/>
      <sz val="14"/>
      <color rgb="FF434343"/>
      <name val="Times New Roman"/>
      <family val="1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9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7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5" fillId="5" borderId="2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4" borderId="41" xfId="0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4" borderId="43" xfId="0" applyFont="1" applyFill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4" fillId="0" borderId="0" xfId="2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0" fillId="6" borderId="29" xfId="0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6" fillId="0" borderId="0" xfId="0" applyFont="1"/>
    <xf numFmtId="0" fontId="24" fillId="0" borderId="0" xfId="0" applyFont="1" applyAlignment="1">
      <alignment horizontal="center" vertical="center"/>
    </xf>
    <xf numFmtId="0" fontId="10" fillId="5" borderId="53" xfId="0" applyFont="1" applyFill="1" applyBorder="1" applyAlignment="1">
      <alignment horizontal="center" vertical="center"/>
    </xf>
    <xf numFmtId="0" fontId="10" fillId="5" borderId="54" xfId="0" applyFont="1" applyFill="1" applyBorder="1" applyAlignment="1">
      <alignment horizontal="center" vertical="center"/>
    </xf>
    <xf numFmtId="0" fontId="10" fillId="5" borderId="5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18" fillId="7" borderId="24" xfId="0" applyFont="1" applyFill="1" applyBorder="1" applyAlignment="1">
      <alignment horizontal="center" vertical="center"/>
    </xf>
    <xf numFmtId="0" fontId="18" fillId="7" borderId="32" xfId="0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/>
    </xf>
    <xf numFmtId="0" fontId="17" fillId="8" borderId="51" xfId="0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/>
    </xf>
    <xf numFmtId="0" fontId="18" fillId="6" borderId="51" xfId="0" applyFont="1" applyFill="1" applyBorder="1" applyAlignment="1">
      <alignment horizontal="center" vertical="center"/>
    </xf>
    <xf numFmtId="0" fontId="16" fillId="0" borderId="0" xfId="0" applyFont="1"/>
    <xf numFmtId="0" fontId="8" fillId="6" borderId="8" xfId="0" applyFont="1" applyFill="1" applyBorder="1" applyAlignment="1">
      <alignment horizontal="center" vertical="center"/>
    </xf>
    <xf numFmtId="0" fontId="8" fillId="6" borderId="57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7" fillId="0" borderId="0" xfId="2"/>
    <xf numFmtId="0" fontId="12" fillId="3" borderId="5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ba.com/playoffs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22ED-22AB-A64C-AE78-DEA5517D55FE}">
  <dimension ref="A1:N52"/>
  <sheetViews>
    <sheetView tabSelected="1" topLeftCell="A15" zoomScale="88" zoomScaleNormal="109" workbookViewId="0">
      <selection activeCell="C28" sqref="C28"/>
    </sheetView>
  </sheetViews>
  <sheetFormatPr baseColWidth="10" defaultColWidth="10.83203125" defaultRowHeight="16" x14ac:dyDescent="0.2"/>
  <cols>
    <col min="1" max="1" width="14.1640625" customWidth="1"/>
    <col min="2" max="2" width="22.83203125" style="1" customWidth="1"/>
    <col min="3" max="3" width="21.33203125" style="1" customWidth="1"/>
    <col min="4" max="4" width="6.6640625" style="1" customWidth="1"/>
    <col min="5" max="5" width="21.33203125" style="1" customWidth="1"/>
    <col min="6" max="6" width="6.1640625" style="1" customWidth="1"/>
    <col min="7" max="7" width="21.33203125" style="1" customWidth="1"/>
    <col min="8" max="8" width="7" style="1" customWidth="1"/>
    <col min="9" max="9" width="21.33203125" style="1" customWidth="1"/>
    <col min="10" max="10" width="7" style="1" customWidth="1"/>
    <col min="11" max="11" width="21.33203125" style="1" customWidth="1"/>
    <col min="12" max="12" width="6.6640625" style="1" customWidth="1"/>
    <col min="13" max="13" width="21.33203125" style="1" customWidth="1"/>
    <col min="14" max="14" width="8.1640625" style="1" customWidth="1"/>
  </cols>
  <sheetData>
    <row r="1" spans="1:14" ht="43" customHeight="1" x14ac:dyDescent="0.2">
      <c r="A1" s="77" t="s">
        <v>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ht="10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9" x14ac:dyDescent="0.2">
      <c r="A3" s="96" t="s">
        <v>0</v>
      </c>
      <c r="B3" s="96"/>
      <c r="C3" s="96"/>
      <c r="D3" s="96"/>
      <c r="E3" s="96"/>
      <c r="F3" s="9"/>
      <c r="G3" s="9"/>
      <c r="H3" s="9"/>
      <c r="I3" s="9"/>
    </row>
    <row r="4" spans="1:14" ht="19" x14ac:dyDescent="0.2">
      <c r="A4" s="96" t="s">
        <v>1</v>
      </c>
      <c r="B4" s="96"/>
      <c r="C4" s="96"/>
      <c r="D4" s="96"/>
      <c r="E4" s="96"/>
      <c r="F4" s="9"/>
      <c r="G4" s="9"/>
      <c r="H4" s="9"/>
      <c r="I4" s="9"/>
    </row>
    <row r="5" spans="1:14" ht="19" x14ac:dyDescent="0.2">
      <c r="A5" s="96" t="s">
        <v>2</v>
      </c>
      <c r="B5" s="96"/>
      <c r="C5" s="96"/>
      <c r="D5" s="96"/>
      <c r="E5" s="96"/>
      <c r="F5" s="9"/>
      <c r="G5" s="9"/>
      <c r="H5" s="9"/>
      <c r="I5" s="9"/>
    </row>
    <row r="6" spans="1:14" ht="19" x14ac:dyDescent="0.2">
      <c r="A6" s="96" t="s">
        <v>3</v>
      </c>
      <c r="B6" s="96"/>
      <c r="C6" s="96"/>
      <c r="D6" s="96"/>
      <c r="E6" s="96"/>
      <c r="F6" s="9"/>
      <c r="G6" s="9"/>
      <c r="H6" s="9"/>
      <c r="I6" s="9"/>
      <c r="K6" s="55"/>
    </row>
    <row r="7" spans="1:14" ht="19" x14ac:dyDescent="0.2">
      <c r="A7" s="96" t="s">
        <v>4</v>
      </c>
      <c r="B7" s="96"/>
      <c r="C7" s="96"/>
      <c r="D7" s="96"/>
      <c r="E7" s="96"/>
      <c r="F7" s="9"/>
      <c r="G7" s="9"/>
      <c r="H7" s="9"/>
      <c r="I7" s="9"/>
    </row>
    <row r="8" spans="1:14" ht="10" customHeight="1" x14ac:dyDescent="0.2">
      <c r="A8" s="72"/>
      <c r="B8" s="72"/>
      <c r="C8" s="72"/>
      <c r="D8" s="72"/>
      <c r="E8" s="72"/>
      <c r="F8" s="9"/>
      <c r="G8" s="9"/>
      <c r="H8" s="9"/>
      <c r="I8" s="9"/>
    </row>
    <row r="9" spans="1:14" ht="19" x14ac:dyDescent="0.2">
      <c r="A9" s="96" t="s">
        <v>5</v>
      </c>
      <c r="B9" s="96"/>
      <c r="C9" s="96"/>
      <c r="D9" s="96"/>
      <c r="E9" s="96"/>
      <c r="F9" s="9"/>
      <c r="G9" s="9"/>
      <c r="H9" s="9"/>
      <c r="I9" s="9"/>
    </row>
    <row r="10" spans="1:14" ht="10" customHeight="1" x14ac:dyDescent="0.2">
      <c r="A10" s="72"/>
      <c r="B10" s="72"/>
      <c r="C10" s="72"/>
      <c r="D10" s="72"/>
      <c r="E10" s="72"/>
      <c r="F10" s="9"/>
      <c r="G10" s="9"/>
      <c r="H10" s="9"/>
      <c r="I10" s="9"/>
    </row>
    <row r="11" spans="1:14" ht="19" x14ac:dyDescent="0.2">
      <c r="A11" s="96" t="s">
        <v>6</v>
      </c>
      <c r="B11" s="96"/>
      <c r="C11" s="96"/>
      <c r="D11" s="96"/>
      <c r="E11" s="96"/>
      <c r="F11" s="9"/>
      <c r="G11" s="9"/>
      <c r="H11" s="9"/>
      <c r="I11" s="9"/>
    </row>
    <row r="12" spans="1:14" ht="19" x14ac:dyDescent="0.2">
      <c r="A12" s="100" t="s">
        <v>39</v>
      </c>
      <c r="B12" s="96"/>
      <c r="C12" s="96"/>
      <c r="D12" s="96"/>
      <c r="E12" s="96"/>
      <c r="F12" s="9"/>
      <c r="G12" s="9"/>
      <c r="H12" s="9"/>
      <c r="I12" s="9"/>
    </row>
    <row r="13" spans="1:14" ht="10" customHeight="1" x14ac:dyDescent="0.2">
      <c r="A13" s="54"/>
      <c r="B13" s="9"/>
      <c r="C13" s="9"/>
      <c r="D13" s="9"/>
      <c r="E13" s="9"/>
      <c r="F13" s="9"/>
      <c r="G13" s="9"/>
      <c r="H13" s="9"/>
      <c r="I13" s="9"/>
    </row>
    <row r="14" spans="1:14" ht="25" customHeight="1" x14ac:dyDescent="0.2">
      <c r="B14" s="101" t="s">
        <v>7</v>
      </c>
      <c r="C14" s="101"/>
      <c r="D14" s="101"/>
      <c r="E14" s="101"/>
      <c r="F14" s="101"/>
      <c r="G14" s="101"/>
      <c r="H14" s="101"/>
      <c r="I14" s="101"/>
    </row>
    <row r="15" spans="1:14" ht="20" x14ac:dyDescent="0.2">
      <c r="B15" s="61" t="s">
        <v>8</v>
      </c>
      <c r="C15" s="78" t="s">
        <v>9</v>
      </c>
      <c r="D15" s="79"/>
      <c r="E15" s="78" t="s">
        <v>10</v>
      </c>
      <c r="F15" s="79"/>
      <c r="G15" s="78" t="s">
        <v>11</v>
      </c>
      <c r="H15" s="79"/>
      <c r="I15" s="61" t="s">
        <v>8</v>
      </c>
      <c r="J15" s="2"/>
    </row>
    <row r="16" spans="1:14" ht="19" x14ac:dyDescent="0.25">
      <c r="A16" s="10"/>
      <c r="B16" s="62"/>
      <c r="C16" s="80" t="s">
        <v>37</v>
      </c>
      <c r="D16" s="81"/>
      <c r="E16" s="80" t="s">
        <v>12</v>
      </c>
      <c r="F16" s="81"/>
      <c r="G16" s="80" t="s">
        <v>36</v>
      </c>
      <c r="H16" s="81"/>
      <c r="I16" s="71"/>
    </row>
    <row r="17" spans="1:14" ht="19" x14ac:dyDescent="0.25">
      <c r="A17" s="10"/>
      <c r="B17" s="62"/>
      <c r="C17" s="80" t="s">
        <v>38</v>
      </c>
      <c r="D17" s="81"/>
      <c r="E17" s="80" t="s">
        <v>13</v>
      </c>
      <c r="F17" s="81"/>
      <c r="G17" s="102" t="s">
        <v>40</v>
      </c>
      <c r="H17" s="103"/>
      <c r="I17" s="71"/>
    </row>
    <row r="18" spans="1:14" ht="19" x14ac:dyDescent="0.25">
      <c r="A18" s="10"/>
      <c r="B18" s="62"/>
      <c r="C18" s="80"/>
      <c r="D18" s="81"/>
      <c r="E18" s="80" t="s">
        <v>14</v>
      </c>
      <c r="F18" s="81"/>
      <c r="G18" s="80"/>
      <c r="H18" s="81"/>
      <c r="I18" s="71"/>
    </row>
    <row r="19" spans="1:14" ht="10" customHeight="1" thickBot="1" x14ac:dyDescent="0.25">
      <c r="B19" s="3"/>
    </row>
    <row r="20" spans="1:14" ht="32" customHeight="1" thickBot="1" x14ac:dyDescent="0.25">
      <c r="C20" s="82" t="s">
        <v>15</v>
      </c>
      <c r="D20" s="83"/>
      <c r="E20" s="84" t="s">
        <v>16</v>
      </c>
      <c r="F20" s="84"/>
      <c r="G20" s="85" t="s">
        <v>17</v>
      </c>
      <c r="H20" s="86"/>
      <c r="I20" s="84" t="s">
        <v>33</v>
      </c>
      <c r="J20" s="84"/>
      <c r="K20" s="85" t="s">
        <v>34</v>
      </c>
      <c r="L20" s="86"/>
      <c r="M20" s="84" t="s">
        <v>48</v>
      </c>
      <c r="N20" s="87"/>
    </row>
    <row r="21" spans="1:14" ht="20" customHeight="1" x14ac:dyDescent="0.2">
      <c r="A21" s="88" t="s">
        <v>18</v>
      </c>
      <c r="B21" s="64" t="s">
        <v>44</v>
      </c>
      <c r="C21" s="12"/>
      <c r="D21" s="13"/>
      <c r="E21" s="14"/>
      <c r="F21" s="15"/>
      <c r="G21" s="16"/>
      <c r="H21" s="17"/>
      <c r="I21" s="18"/>
      <c r="J21" s="19"/>
      <c r="K21" s="16"/>
      <c r="L21" s="17"/>
      <c r="M21" s="18"/>
      <c r="N21" s="17"/>
    </row>
    <row r="22" spans="1:14" ht="20" customHeight="1" x14ac:dyDescent="0.2">
      <c r="A22" s="89"/>
      <c r="B22" s="65" t="s">
        <v>43</v>
      </c>
      <c r="C22" s="20"/>
      <c r="D22" s="21"/>
      <c r="E22" s="22"/>
      <c r="F22" s="23"/>
      <c r="G22" s="24"/>
      <c r="H22" s="25"/>
      <c r="I22" s="26"/>
      <c r="J22" s="27"/>
      <c r="K22" s="24"/>
      <c r="L22" s="25"/>
      <c r="M22" s="26"/>
      <c r="N22" s="25"/>
    </row>
    <row r="23" spans="1:14" ht="20" customHeight="1" x14ac:dyDescent="0.2">
      <c r="A23" s="89"/>
      <c r="B23" s="65" t="s">
        <v>42</v>
      </c>
      <c r="C23" s="20"/>
      <c r="D23" s="21"/>
      <c r="E23" s="22"/>
      <c r="F23" s="23"/>
      <c r="G23" s="24"/>
      <c r="H23" s="25"/>
      <c r="I23" s="26"/>
      <c r="J23" s="27"/>
      <c r="K23" s="24"/>
      <c r="L23" s="25"/>
      <c r="M23" s="26"/>
      <c r="N23" s="25"/>
    </row>
    <row r="24" spans="1:14" ht="20" customHeight="1" x14ac:dyDescent="0.2">
      <c r="A24" s="89"/>
      <c r="B24" s="65" t="s">
        <v>41</v>
      </c>
      <c r="C24" s="20"/>
      <c r="D24" s="21"/>
      <c r="E24" s="22"/>
      <c r="F24" s="23"/>
      <c r="G24" s="24"/>
      <c r="H24" s="25"/>
      <c r="I24" s="26"/>
      <c r="J24" s="27"/>
      <c r="K24" s="24"/>
      <c r="L24" s="25"/>
      <c r="M24" s="26"/>
      <c r="N24" s="25"/>
    </row>
    <row r="25" spans="1:14" ht="20" customHeight="1" x14ac:dyDescent="0.2">
      <c r="A25" s="89"/>
      <c r="B25" s="65" t="s">
        <v>19</v>
      </c>
      <c r="C25" s="20"/>
      <c r="D25" s="21"/>
      <c r="E25" s="22"/>
      <c r="F25" s="23"/>
      <c r="G25" s="24"/>
      <c r="H25" s="25"/>
      <c r="I25" s="26"/>
      <c r="J25" s="27"/>
      <c r="K25" s="24"/>
      <c r="L25" s="25"/>
      <c r="M25" s="26"/>
      <c r="N25" s="25"/>
    </row>
    <row r="26" spans="1:14" ht="20" customHeight="1" x14ac:dyDescent="0.2">
      <c r="A26" s="89"/>
      <c r="B26" s="65" t="s">
        <v>45</v>
      </c>
      <c r="C26" s="20"/>
      <c r="D26" s="21"/>
      <c r="E26" s="22"/>
      <c r="F26" s="23"/>
      <c r="G26" s="24"/>
      <c r="H26" s="25"/>
      <c r="I26" s="26"/>
      <c r="J26" s="27"/>
      <c r="K26" s="24"/>
      <c r="L26" s="25"/>
      <c r="M26" s="26"/>
      <c r="N26" s="25"/>
    </row>
    <row r="27" spans="1:14" ht="20" customHeight="1" x14ac:dyDescent="0.2">
      <c r="A27" s="89"/>
      <c r="B27" s="65" t="s">
        <v>46</v>
      </c>
      <c r="C27" s="20"/>
      <c r="D27" s="21"/>
      <c r="E27" s="22"/>
      <c r="F27" s="23"/>
      <c r="G27" s="24"/>
      <c r="H27" s="25"/>
      <c r="I27" s="26"/>
      <c r="J27" s="27"/>
      <c r="K27" s="24"/>
      <c r="L27" s="25"/>
      <c r="M27" s="26"/>
      <c r="N27" s="25"/>
    </row>
    <row r="28" spans="1:14" ht="20" customHeight="1" thickBot="1" x14ac:dyDescent="0.25">
      <c r="A28" s="89"/>
      <c r="B28" s="66" t="s">
        <v>47</v>
      </c>
      <c r="C28" s="28"/>
      <c r="D28" s="29"/>
      <c r="E28" s="30"/>
      <c r="F28" s="31"/>
      <c r="G28" s="32"/>
      <c r="H28" s="33"/>
      <c r="I28" s="34"/>
      <c r="J28" s="35"/>
      <c r="K28" s="32"/>
      <c r="L28" s="33"/>
      <c r="M28" s="34"/>
      <c r="N28" s="33"/>
    </row>
    <row r="29" spans="1:14" ht="20" customHeight="1" thickBot="1" x14ac:dyDescent="0.25">
      <c r="A29" s="90"/>
      <c r="B29" s="67" t="s">
        <v>20</v>
      </c>
      <c r="C29" s="92">
        <f>D22+D21+D23+D24+D25+D26+D27+D28</f>
        <v>0</v>
      </c>
      <c r="D29" s="93"/>
      <c r="E29" s="92">
        <f>F22+F21+F23+F24+F25+F26+F27+F28</f>
        <v>0</v>
      </c>
      <c r="F29" s="93"/>
      <c r="G29" s="92">
        <f>H22+H21+H23+H24+H25+H26+H27+H28</f>
        <v>0</v>
      </c>
      <c r="H29" s="93"/>
      <c r="I29" s="92">
        <f>J22+J21+J23+J24+J25+J26+J27+J28</f>
        <v>0</v>
      </c>
      <c r="J29" s="93"/>
      <c r="K29" s="92">
        <f>L22+L21+L23+L24+L25+L26+L27+L28</f>
        <v>0</v>
      </c>
      <c r="L29" s="93"/>
      <c r="M29" s="92">
        <f>N22+N21+N23+N24+N25+N26+N27+N28</f>
        <v>0</v>
      </c>
      <c r="N29" s="93"/>
    </row>
    <row r="30" spans="1:14" ht="20" customHeight="1" x14ac:dyDescent="0.2">
      <c r="A30" s="91" t="s">
        <v>21</v>
      </c>
      <c r="B30" s="68"/>
      <c r="C30" s="36"/>
      <c r="D30" s="37"/>
      <c r="E30" s="38"/>
      <c r="F30" s="39"/>
      <c r="G30" s="40"/>
      <c r="H30" s="41"/>
      <c r="I30" s="42"/>
      <c r="J30" s="43"/>
      <c r="K30" s="40"/>
      <c r="L30" s="41"/>
      <c r="M30" s="42"/>
      <c r="N30" s="41"/>
    </row>
    <row r="31" spans="1:14" ht="20" customHeight="1" x14ac:dyDescent="0.2">
      <c r="A31" s="89"/>
      <c r="B31" s="65"/>
      <c r="C31" s="20"/>
      <c r="D31" s="21"/>
      <c r="E31" s="22"/>
      <c r="F31" s="23"/>
      <c r="G31" s="24"/>
      <c r="H31" s="25"/>
      <c r="I31" s="26"/>
      <c r="J31" s="27"/>
      <c r="K31" s="24"/>
      <c r="L31" s="25"/>
      <c r="M31" s="26"/>
      <c r="N31" s="25"/>
    </row>
    <row r="32" spans="1:14" ht="20" customHeight="1" x14ac:dyDescent="0.2">
      <c r="A32" s="89"/>
      <c r="B32" s="65"/>
      <c r="C32" s="20"/>
      <c r="D32" s="21"/>
      <c r="E32" s="22"/>
      <c r="F32" s="23"/>
      <c r="G32" s="24"/>
      <c r="H32" s="25"/>
      <c r="I32" s="26"/>
      <c r="J32" s="27"/>
      <c r="K32" s="24"/>
      <c r="L32" s="25"/>
      <c r="M32" s="26"/>
      <c r="N32" s="25"/>
    </row>
    <row r="33" spans="1:14" ht="20" customHeight="1" thickBot="1" x14ac:dyDescent="0.25">
      <c r="A33" s="89"/>
      <c r="B33" s="66"/>
      <c r="C33" s="28"/>
      <c r="D33" s="29"/>
      <c r="E33" s="30"/>
      <c r="F33" s="31"/>
      <c r="G33" s="32"/>
      <c r="H33" s="33"/>
      <c r="I33" s="34"/>
      <c r="J33" s="35"/>
      <c r="K33" s="32"/>
      <c r="L33" s="33"/>
      <c r="M33" s="34"/>
      <c r="N33" s="33"/>
    </row>
    <row r="34" spans="1:14" ht="20" customHeight="1" thickBot="1" x14ac:dyDescent="0.25">
      <c r="A34" s="90"/>
      <c r="B34" s="67" t="s">
        <v>22</v>
      </c>
      <c r="C34" s="92">
        <f>D30+D31+D32+D33</f>
        <v>0</v>
      </c>
      <c r="D34" s="93"/>
      <c r="E34" s="92">
        <f>F30+F31+F32+F33</f>
        <v>0</v>
      </c>
      <c r="F34" s="93"/>
      <c r="G34" s="92">
        <f>H30+H31+H32+H33</f>
        <v>0</v>
      </c>
      <c r="H34" s="93"/>
      <c r="I34" s="92">
        <f>J30+J31+J32+J33</f>
        <v>0</v>
      </c>
      <c r="J34" s="93"/>
      <c r="K34" s="92">
        <f>L30+L31+L32+L33</f>
        <v>0</v>
      </c>
      <c r="L34" s="93"/>
      <c r="M34" s="92">
        <f>N30+N31+N32+N33</f>
        <v>0</v>
      </c>
      <c r="N34" s="93"/>
    </row>
    <row r="35" spans="1:14" ht="20" customHeight="1" x14ac:dyDescent="0.2">
      <c r="A35" s="91" t="s">
        <v>23</v>
      </c>
      <c r="B35" s="6"/>
      <c r="C35" s="44"/>
      <c r="D35" s="45"/>
      <c r="E35" s="42"/>
      <c r="F35" s="43"/>
      <c r="G35" s="40"/>
      <c r="H35" s="41"/>
      <c r="I35" s="42"/>
      <c r="J35" s="43"/>
      <c r="K35" s="40"/>
      <c r="L35" s="41"/>
      <c r="M35" s="42"/>
      <c r="N35" s="41"/>
    </row>
    <row r="36" spans="1:14" ht="20" customHeight="1" x14ac:dyDescent="0.2">
      <c r="A36" s="89"/>
      <c r="B36" s="65" t="s">
        <v>24</v>
      </c>
      <c r="C36" s="46"/>
      <c r="D36" s="47"/>
      <c r="E36" s="26"/>
      <c r="F36" s="27"/>
      <c r="G36" s="24"/>
      <c r="H36" s="25"/>
      <c r="I36" s="26"/>
      <c r="J36" s="27"/>
      <c r="K36" s="24"/>
      <c r="L36" s="25"/>
      <c r="M36" s="26"/>
      <c r="N36" s="25"/>
    </row>
    <row r="37" spans="1:14" ht="20" customHeight="1" x14ac:dyDescent="0.2">
      <c r="A37" s="89"/>
      <c r="B37" s="7"/>
      <c r="C37" s="46"/>
      <c r="D37" s="47"/>
      <c r="E37" s="26"/>
      <c r="F37" s="27"/>
      <c r="G37" s="24"/>
      <c r="H37" s="25"/>
      <c r="I37" s="26"/>
      <c r="J37" s="27"/>
      <c r="K37" s="24"/>
      <c r="L37" s="25"/>
      <c r="M37" s="26"/>
      <c r="N37" s="25"/>
    </row>
    <row r="38" spans="1:14" ht="20" customHeight="1" thickBot="1" x14ac:dyDescent="0.25">
      <c r="A38" s="89"/>
      <c r="B38" s="66" t="s">
        <v>25</v>
      </c>
      <c r="C38" s="50"/>
      <c r="D38" s="51"/>
      <c r="E38" s="34"/>
      <c r="F38" s="35"/>
      <c r="G38" s="32"/>
      <c r="H38" s="33"/>
      <c r="I38" s="34"/>
      <c r="J38" s="35"/>
      <c r="K38" s="32"/>
      <c r="L38" s="33"/>
      <c r="M38" s="34"/>
      <c r="N38" s="33"/>
    </row>
    <row r="39" spans="1:14" ht="20" customHeight="1" thickBot="1" x14ac:dyDescent="0.25">
      <c r="A39" s="90"/>
      <c r="B39" s="67" t="s">
        <v>26</v>
      </c>
      <c r="C39" s="92">
        <f>D35+D36+D37+D38</f>
        <v>0</v>
      </c>
      <c r="D39" s="93"/>
      <c r="E39" s="92">
        <f>F35+F36+F37+F38</f>
        <v>0</v>
      </c>
      <c r="F39" s="93"/>
      <c r="G39" s="92">
        <f>H35+H36+H37+H38</f>
        <v>0</v>
      </c>
      <c r="H39" s="93"/>
      <c r="I39" s="92">
        <f>J35+J36+J37+J38</f>
        <v>0</v>
      </c>
      <c r="J39" s="93"/>
      <c r="K39" s="92">
        <f>L35+L36+L37+L38</f>
        <v>0</v>
      </c>
      <c r="L39" s="93"/>
      <c r="M39" s="92">
        <f>N35+N36+N37+N38</f>
        <v>0</v>
      </c>
      <c r="N39" s="93"/>
    </row>
    <row r="40" spans="1:14" ht="20" customHeight="1" x14ac:dyDescent="0.2">
      <c r="A40" s="74" t="s">
        <v>27</v>
      </c>
      <c r="B40" s="69"/>
      <c r="C40" s="44"/>
      <c r="D40" s="45"/>
      <c r="E40" s="48"/>
      <c r="F40" s="49"/>
      <c r="G40" s="44"/>
      <c r="H40" s="45"/>
      <c r="I40" s="48"/>
      <c r="J40" s="49"/>
      <c r="K40" s="44"/>
      <c r="L40" s="45"/>
      <c r="M40" s="48"/>
      <c r="N40" s="45"/>
    </row>
    <row r="41" spans="1:14" ht="20" customHeight="1" thickBot="1" x14ac:dyDescent="0.25">
      <c r="A41" s="75"/>
      <c r="B41" s="70" t="s">
        <v>28</v>
      </c>
      <c r="C41" s="50"/>
      <c r="D41" s="51"/>
      <c r="E41" s="52"/>
      <c r="F41" s="53"/>
      <c r="G41" s="50"/>
      <c r="H41" s="51"/>
      <c r="I41" s="52"/>
      <c r="J41" s="53"/>
      <c r="K41" s="50"/>
      <c r="L41" s="51"/>
      <c r="M41" s="52"/>
      <c r="N41" s="51"/>
    </row>
    <row r="42" spans="1:14" ht="20" customHeight="1" thickBot="1" x14ac:dyDescent="0.25">
      <c r="A42" s="76"/>
      <c r="B42" s="67" t="s">
        <v>29</v>
      </c>
      <c r="C42" s="92">
        <f t="shared" ref="C42" si="0">D41+D40</f>
        <v>0</v>
      </c>
      <c r="D42" s="93"/>
      <c r="E42" s="92">
        <f t="shared" ref="E42" si="1">F41+F40</f>
        <v>0</v>
      </c>
      <c r="F42" s="93"/>
      <c r="G42" s="92">
        <f t="shared" ref="G42" si="2">H41+H40</f>
        <v>0</v>
      </c>
      <c r="H42" s="93"/>
      <c r="I42" s="92">
        <f t="shared" ref="I42" si="3">J41+J40</f>
        <v>0</v>
      </c>
      <c r="J42" s="93"/>
      <c r="K42" s="92">
        <f t="shared" ref="K42" si="4">L41+L40</f>
        <v>0</v>
      </c>
      <c r="L42" s="93"/>
      <c r="M42" s="92">
        <f>N41+N40</f>
        <v>0</v>
      </c>
      <c r="N42" s="93"/>
    </row>
    <row r="43" spans="1:14" ht="37" customHeight="1" thickBot="1" x14ac:dyDescent="0.25">
      <c r="A43" s="11" t="s">
        <v>30</v>
      </c>
      <c r="B43" s="63" t="s">
        <v>31</v>
      </c>
      <c r="C43" s="94">
        <f>C29+C34+C39+C42</f>
        <v>0</v>
      </c>
      <c r="D43" s="95"/>
      <c r="E43" s="94">
        <f>E29+E34+E39+E42</f>
        <v>0</v>
      </c>
      <c r="F43" s="95"/>
      <c r="G43" s="94">
        <f>G29+G34+G39+G42</f>
        <v>0</v>
      </c>
      <c r="H43" s="95"/>
      <c r="I43" s="94">
        <f>I29+I34+I39+I42</f>
        <v>0</v>
      </c>
      <c r="J43" s="95"/>
      <c r="K43" s="94">
        <f>K29+K34+K39+K42</f>
        <v>0</v>
      </c>
      <c r="L43" s="95"/>
      <c r="M43" s="94">
        <f>M29+M34+M39+M42</f>
        <v>0</v>
      </c>
      <c r="N43" s="95"/>
    </row>
    <row r="45" spans="1:14" x14ac:dyDescent="0.2">
      <c r="B45" s="4"/>
      <c r="C45" s="4"/>
      <c r="D45" s="4"/>
      <c r="E45" s="4"/>
      <c r="F45" s="4"/>
      <c r="G45" s="4"/>
      <c r="H45" s="4"/>
    </row>
    <row r="46" spans="1:14" ht="26" customHeight="1" x14ac:dyDescent="0.2">
      <c r="C46" s="73"/>
      <c r="D46" s="73"/>
      <c r="E46" s="73"/>
      <c r="I46" s="97" t="s">
        <v>32</v>
      </c>
      <c r="J46" s="98"/>
      <c r="K46" s="99"/>
      <c r="L46" s="56"/>
      <c r="N46" s="56"/>
    </row>
    <row r="47" spans="1:14" ht="20" customHeight="1" x14ac:dyDescent="0.2">
      <c r="C47" s="73"/>
      <c r="D47" s="59">
        <f>RANK(F47,F$47:F$52)+COUNTIF($F$47:F47,F47)-1</f>
        <v>1</v>
      </c>
      <c r="E47" s="60" t="s">
        <v>15</v>
      </c>
      <c r="F47" s="60">
        <f>C43</f>
        <v>0</v>
      </c>
      <c r="I47" s="58">
        <v>1</v>
      </c>
      <c r="J47" s="5">
        <f>VLOOKUP(I47,D$47:F$52,3,FALSE)</f>
        <v>0</v>
      </c>
      <c r="K47" s="5" t="str">
        <f>VLOOKUP(I47,D$47:F$52,2,FALSE)</f>
        <v>WILL</v>
      </c>
    </row>
    <row r="48" spans="1:14" ht="20" customHeight="1" x14ac:dyDescent="0.2">
      <c r="C48" s="73"/>
      <c r="D48" s="59">
        <f>RANK(F48,F$47:F$52)+COUNTIF($F$47:F48,F48)-1</f>
        <v>2</v>
      </c>
      <c r="E48" s="60" t="s">
        <v>16</v>
      </c>
      <c r="F48" s="60">
        <f>E43</f>
        <v>0</v>
      </c>
      <c r="G48" s="57"/>
      <c r="I48" s="58">
        <v>2</v>
      </c>
      <c r="J48" s="5">
        <f t="shared" ref="J48:J51" si="5">VLOOKUP(I48,D$47:F$52,3,FALSE)</f>
        <v>0</v>
      </c>
      <c r="K48" s="5" t="str">
        <f t="shared" ref="K48:K51" si="6">VLOOKUP(I48,D$47:F$52,2,FALSE)</f>
        <v>OLI</v>
      </c>
    </row>
    <row r="49" spans="3:11" ht="20" customHeight="1" x14ac:dyDescent="0.2">
      <c r="C49" s="73"/>
      <c r="D49" s="59">
        <f>RANK(F49,F$47:F$52)+COUNTIF($F$47:F49,F49)-1</f>
        <v>3</v>
      </c>
      <c r="E49" s="60" t="s">
        <v>17</v>
      </c>
      <c r="F49" s="60">
        <f>G43</f>
        <v>0</v>
      </c>
      <c r="I49" s="58">
        <v>3</v>
      </c>
      <c r="J49" s="5">
        <f>VLOOKUP(I49,D$47:F$52,3,FALSE)</f>
        <v>0</v>
      </c>
      <c r="K49" s="5" t="str">
        <f>VLOOKUP(I49,D$47:F$52,2,FALSE)</f>
        <v>MIK</v>
      </c>
    </row>
    <row r="50" spans="3:11" ht="20" customHeight="1" x14ac:dyDescent="0.2">
      <c r="C50" s="73"/>
      <c r="D50" s="59">
        <f>RANK(F50,F$47:F$52)+COUNTIF($F$47:F50,F50)-1</f>
        <v>4</v>
      </c>
      <c r="E50" s="60" t="s">
        <v>33</v>
      </c>
      <c r="F50" s="60">
        <f>I43</f>
        <v>0</v>
      </c>
      <c r="I50" s="58">
        <v>4</v>
      </c>
      <c r="J50" s="5">
        <f t="shared" si="5"/>
        <v>0</v>
      </c>
      <c r="K50" s="5" t="str">
        <f t="shared" si="6"/>
        <v>THOM</v>
      </c>
    </row>
    <row r="51" spans="3:11" ht="20" customHeight="1" x14ac:dyDescent="0.2">
      <c r="C51" s="73"/>
      <c r="D51" s="59">
        <f>RANK(F51,F$47:F$52)+COUNTIF($F$47:F51,F51)-1</f>
        <v>5</v>
      </c>
      <c r="E51" s="60" t="s">
        <v>34</v>
      </c>
      <c r="F51" s="60">
        <f>K43</f>
        <v>0</v>
      </c>
      <c r="G51" s="57"/>
      <c r="I51" s="58">
        <v>5</v>
      </c>
      <c r="J51" s="5">
        <f t="shared" si="5"/>
        <v>0</v>
      </c>
      <c r="K51" s="5" t="str">
        <f t="shared" si="6"/>
        <v>SAM</v>
      </c>
    </row>
    <row r="52" spans="3:11" ht="20" customHeight="1" x14ac:dyDescent="0.2">
      <c r="D52" s="59">
        <f>RANK(F52,F$47:F$52)+COUNTIF($F$47:F52,F52)-1</f>
        <v>6</v>
      </c>
      <c r="E52" s="60" t="s">
        <v>48</v>
      </c>
      <c r="F52" s="60">
        <f>M43</f>
        <v>0</v>
      </c>
      <c r="I52" s="58">
        <v>6</v>
      </c>
      <c r="J52" s="5">
        <f>VLOOKUP(I52,D$47:F$52,3,FALSE)</f>
        <v>0</v>
      </c>
      <c r="K52" s="5" t="str">
        <f>VLOOKUP(I52,D$47:F$52,2,FALSE)</f>
        <v>DOUSKI</v>
      </c>
    </row>
  </sheetData>
  <mergeCells count="63">
    <mergeCell ref="I46:K46"/>
    <mergeCell ref="A7:E7"/>
    <mergeCell ref="A9:E9"/>
    <mergeCell ref="A11:E11"/>
    <mergeCell ref="A12:E12"/>
    <mergeCell ref="I39:J39"/>
    <mergeCell ref="G39:H39"/>
    <mergeCell ref="B14:I14"/>
    <mergeCell ref="G42:H42"/>
    <mergeCell ref="G34:H34"/>
    <mergeCell ref="G29:H29"/>
    <mergeCell ref="K29:L29"/>
    <mergeCell ref="I29:J29"/>
    <mergeCell ref="G16:H16"/>
    <mergeCell ref="G17:H17"/>
    <mergeCell ref="E18:F18"/>
    <mergeCell ref="A3:E3"/>
    <mergeCell ref="A4:E4"/>
    <mergeCell ref="A5:E5"/>
    <mergeCell ref="A6:E6"/>
    <mergeCell ref="E42:F42"/>
    <mergeCell ref="C42:D42"/>
    <mergeCell ref="C39:D39"/>
    <mergeCell ref="C34:D34"/>
    <mergeCell ref="E34:F34"/>
    <mergeCell ref="E39:F39"/>
    <mergeCell ref="C29:D29"/>
    <mergeCell ref="E29:F29"/>
    <mergeCell ref="C18:D18"/>
    <mergeCell ref="E15:F15"/>
    <mergeCell ref="E16:F16"/>
    <mergeCell ref="E17:F17"/>
    <mergeCell ref="M29:N29"/>
    <mergeCell ref="C43:D43"/>
    <mergeCell ref="E43:F43"/>
    <mergeCell ref="G43:H43"/>
    <mergeCell ref="I43:J43"/>
    <mergeCell ref="K43:L43"/>
    <mergeCell ref="M43:N43"/>
    <mergeCell ref="M34:N34"/>
    <mergeCell ref="M39:N39"/>
    <mergeCell ref="M42:N42"/>
    <mergeCell ref="K42:L42"/>
    <mergeCell ref="I42:J42"/>
    <mergeCell ref="I34:J34"/>
    <mergeCell ref="K34:L34"/>
    <mergeCell ref="K39:L39"/>
    <mergeCell ref="A40:A42"/>
    <mergeCell ref="A1:N1"/>
    <mergeCell ref="C15:D15"/>
    <mergeCell ref="C16:D16"/>
    <mergeCell ref="C17:D17"/>
    <mergeCell ref="C20:D20"/>
    <mergeCell ref="E20:F20"/>
    <mergeCell ref="G20:H20"/>
    <mergeCell ref="I20:J20"/>
    <mergeCell ref="K20:L20"/>
    <mergeCell ref="M20:N20"/>
    <mergeCell ref="G15:H15"/>
    <mergeCell ref="G18:H18"/>
    <mergeCell ref="A21:A29"/>
    <mergeCell ref="A30:A34"/>
    <mergeCell ref="A35:A39"/>
  </mergeCells>
  <phoneticPr fontId="19" type="noConversion"/>
  <hyperlinks>
    <hyperlink ref="A12" r:id="rId1" xr:uid="{D989E8A9-8C6D-F449-BE74-0AEC045DF15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Bergeron</dc:creator>
  <cp:keywords/>
  <dc:description/>
  <cp:lastModifiedBy>William Bergeron</cp:lastModifiedBy>
  <cp:revision/>
  <dcterms:created xsi:type="dcterms:W3CDTF">2025-04-16T00:58:38Z</dcterms:created>
  <dcterms:modified xsi:type="dcterms:W3CDTF">2026-04-14T02:38:19Z</dcterms:modified>
  <cp:category/>
  <cp:contentStatus/>
</cp:coreProperties>
</file>